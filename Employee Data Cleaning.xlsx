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c42d29a252aeff/Desktop/employee data cleaning/"/>
    </mc:Choice>
  </mc:AlternateContent>
  <xr:revisionPtr revIDLastSave="0" documentId="8_{4B6376AA-CD28-4740-BCE7-0937D078EFA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AW DATA" sheetId="1" r:id="rId1"/>
    <sheet name="INSTRUCTIONS" sheetId="2" r:id="rId2"/>
    <sheet name="DATA CLEANING" sheetId="3" r:id="rId3"/>
    <sheet name="MATCH() AND INDEX()" sheetId="5" r:id="rId4"/>
    <sheet name="VLOOKUP, XLOOKUP" sheetId="4" r:id="rId5"/>
    <sheet name="XLIOOKUP" sheetId="7" r:id="rId6"/>
  </sheets>
  <definedNames>
    <definedName name="_xlnm._FilterDatabase" localSheetId="2" hidden="1">'DATA CLEANING'!$V$36:$W$136</definedName>
    <definedName name="_xlnm._FilterDatabase" localSheetId="4" hidden="1">'VLOOKUP, XLOOKUP'!$AA$6:$AA$20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7" l="1" a="1"/>
  <c r="O36" i="7" s="1"/>
  <c r="O37" i="7" a="1"/>
  <c r="O37" i="7" s="1"/>
  <c r="O38" i="7" a="1"/>
  <c r="O38" i="7" s="1"/>
  <c r="O39" i="7" a="1"/>
  <c r="O39" i="7" s="1"/>
  <c r="O40" i="7" a="1"/>
  <c r="O40" i="7" s="1"/>
  <c r="O41" i="7" a="1"/>
  <c r="O41" i="7" s="1"/>
  <c r="O42" i="7" a="1"/>
  <c r="O42" i="7" s="1"/>
  <c r="O43" i="7" a="1"/>
  <c r="O43" i="7" s="1"/>
  <c r="O44" i="7" a="1"/>
  <c r="O44" i="7" s="1"/>
  <c r="O45" i="7" a="1"/>
  <c r="O45" i="7" s="1"/>
  <c r="O46" i="7" a="1"/>
  <c r="O46" i="7" s="1"/>
  <c r="O35" i="7" a="1"/>
  <c r="O35" i="7" s="1"/>
  <c r="AB7" i="4" a="1"/>
  <c r="AB7" i="4" s="1"/>
  <c r="AB8" i="4" a="1"/>
  <c r="AB8" i="4" s="1"/>
  <c r="AB9" i="4" a="1"/>
  <c r="AB9" i="4" s="1"/>
  <c r="AB10" i="4" a="1"/>
  <c r="AB10" i="4" s="1"/>
  <c r="AB11" i="4" a="1"/>
  <c r="AB11" i="4" s="1"/>
  <c r="AB12" i="4" a="1"/>
  <c r="AB12" i="4" s="1"/>
  <c r="AB13" i="4" a="1"/>
  <c r="AB13" i="4" s="1"/>
  <c r="AB14" i="4" a="1"/>
  <c r="AB14" i="4" s="1"/>
  <c r="AB15" i="4" a="1"/>
  <c r="AB15" i="4" s="1"/>
  <c r="AB16" i="4" a="1"/>
  <c r="AB16" i="4" s="1"/>
  <c r="AB17" i="4" a="1"/>
  <c r="AB17" i="4" s="1"/>
  <c r="AB18" i="4" a="1"/>
  <c r="AB18" i="4" s="1"/>
  <c r="AB19" i="4" a="1"/>
  <c r="AB19" i="4" s="1"/>
  <c r="AB20" i="4" a="1"/>
  <c r="AB20" i="4" s="1"/>
  <c r="W8" i="4"/>
  <c r="W9" i="4"/>
  <c r="W10" i="4"/>
  <c r="W11" i="4"/>
  <c r="W12" i="4"/>
  <c r="W7" i="4"/>
  <c r="E18" i="5"/>
  <c r="E17" i="5"/>
  <c r="C17" i="5" l="1" a="1"/>
  <c r="C17" i="5" s="1"/>
  <c r="G104" i="3"/>
  <c r="X104" i="3" a="1"/>
  <c r="X104" i="3" s="1"/>
  <c r="X76" i="3" a="1"/>
  <c r="X76" i="3" s="1"/>
  <c r="X97" i="3" a="1"/>
  <c r="X97" i="3" s="1"/>
  <c r="X74" i="3" a="1"/>
  <c r="X74" i="3" s="1"/>
  <c r="X96" i="3" a="1"/>
  <c r="X96" i="3" s="1"/>
  <c r="X132" i="3" a="1"/>
  <c r="X132" i="3" s="1"/>
  <c r="X130" i="3" a="1"/>
  <c r="X130" i="3" s="1"/>
  <c r="X90" i="3" a="1"/>
  <c r="X90" i="3" s="1"/>
  <c r="X128" i="3" a="1"/>
  <c r="X128" i="3" s="1"/>
  <c r="X125" i="3" a="1"/>
  <c r="X125" i="3" s="1"/>
  <c r="X70" i="3" a="1"/>
  <c r="X70" i="3" s="1"/>
  <c r="X120" i="3" a="1"/>
  <c r="X120" i="3" s="1"/>
  <c r="X85" i="3" a="1"/>
  <c r="X85" i="3" s="1"/>
  <c r="X69" i="3" a="1"/>
  <c r="X69" i="3" s="1"/>
  <c r="X83" i="3" a="1"/>
  <c r="X83" i="3" s="1"/>
  <c r="X62" i="3" a="1"/>
  <c r="X62" i="3" s="1"/>
  <c r="X55" i="3" a="1"/>
  <c r="X55" i="3" s="1"/>
  <c r="X116" i="3" a="1"/>
  <c r="X116" i="3" s="1"/>
  <c r="X82" i="3" a="1"/>
  <c r="X82" i="3" s="1"/>
  <c r="X54" i="3" a="1"/>
  <c r="X54" i="3" s="1"/>
  <c r="X52" i="3" a="1"/>
  <c r="X52" i="3" s="1"/>
  <c r="X42" i="3" a="1"/>
  <c r="X42" i="3" s="1"/>
  <c r="I97" i="3" a="1"/>
  <c r="I97" i="3" s="1"/>
  <c r="I96" i="3" a="1"/>
  <c r="I96" i="3" s="1"/>
  <c r="I90" i="3" a="1"/>
  <c r="I90" i="3" s="1"/>
  <c r="I85" i="3" a="1"/>
  <c r="I85" i="3" s="1"/>
  <c r="I83" i="3" a="1"/>
  <c r="I83" i="3" s="1"/>
  <c r="I82" i="3" a="1"/>
  <c r="I82" i="3" s="1"/>
  <c r="I76" i="3" a="1"/>
  <c r="I76" i="3" s="1"/>
  <c r="I74" i="3" a="1"/>
  <c r="I74" i="3" s="1"/>
  <c r="I70" i="3" a="1"/>
  <c r="I70" i="3" s="1"/>
  <c r="I69" i="3" a="1"/>
  <c r="I69" i="3" s="1"/>
  <c r="I62" i="3" a="1"/>
  <c r="I62" i="3" s="1"/>
  <c r="I55" i="3" a="1"/>
  <c r="I55" i="3" s="1"/>
  <c r="I54" i="3" a="1"/>
  <c r="I54" i="3" s="1"/>
  <c r="I52" i="3" a="1"/>
  <c r="I52" i="3" s="1"/>
  <c r="I42" i="3" a="1"/>
  <c r="I42" i="3" s="1"/>
  <c r="I36" i="3" a="1"/>
  <c r="I36" i="3" s="1"/>
  <c r="I35" i="3" a="1"/>
  <c r="I35" i="3" s="1"/>
  <c r="I34" i="3" a="1"/>
  <c r="I34" i="3" s="1"/>
  <c r="I33" i="3" a="1"/>
  <c r="I33" i="3" s="1"/>
  <c r="I32" i="3" a="1"/>
  <c r="I32" i="3" s="1"/>
  <c r="I31" i="3" a="1"/>
  <c r="I31" i="3" s="1"/>
  <c r="I30" i="3" a="1"/>
  <c r="I30" i="3" s="1"/>
  <c r="I29" i="3" a="1"/>
  <c r="I29" i="3" s="1"/>
  <c r="I28" i="3" a="1"/>
  <c r="I28" i="3" s="1"/>
  <c r="I27" i="3" a="1"/>
  <c r="I27" i="3" s="1"/>
  <c r="I26" i="3" a="1"/>
  <c r="I26" i="3" s="1"/>
  <c r="I25" i="3" a="1"/>
  <c r="I25" i="3" s="1"/>
  <c r="I24" i="3" a="1"/>
  <c r="I24" i="3" s="1"/>
  <c r="I23" i="3" a="1"/>
  <c r="I23" i="3" s="1"/>
  <c r="I22" i="3" a="1"/>
  <c r="I22" i="3" s="1"/>
  <c r="I21" i="3" a="1"/>
  <c r="I21" i="3" s="1"/>
  <c r="I20" i="3" a="1"/>
  <c r="I20" i="3" s="1"/>
  <c r="I19" i="3" a="1"/>
  <c r="I19" i="3" s="1"/>
  <c r="I18" i="3" a="1"/>
  <c r="I18" i="3" s="1"/>
  <c r="I17" i="3" a="1"/>
  <c r="I17" i="3" s="1"/>
  <c r="I16" i="3" a="1"/>
  <c r="I16" i="3" s="1"/>
  <c r="I15" i="3" a="1"/>
  <c r="I15" i="3" s="1"/>
  <c r="I14" i="3" a="1"/>
  <c r="I14" i="3" s="1"/>
  <c r="I13" i="3" a="1"/>
  <c r="I13" i="3" s="1"/>
  <c r="I12" i="3" a="1"/>
  <c r="I12" i="3" s="1"/>
  <c r="I11" i="3" a="1"/>
  <c r="I11" i="3" s="1"/>
  <c r="I10" i="3" a="1"/>
  <c r="I10" i="3" s="1"/>
  <c r="I9" i="3" a="1"/>
  <c r="I9" i="3" s="1"/>
  <c r="I8" i="3" a="1"/>
  <c r="I8" i="3" s="1"/>
  <c r="I7" i="3" a="1"/>
  <c r="I7" i="3" s="1"/>
  <c r="I6" i="3" a="1"/>
  <c r="I6" i="3" s="1"/>
  <c r="I5" i="3" a="1"/>
  <c r="I5" i="3" s="1"/>
  <c r="I4" i="3" a="1"/>
  <c r="I4" i="3" s="1"/>
  <c r="I3" i="3" a="1"/>
  <c r="I3" i="3" s="1"/>
  <c r="I2" i="3" a="1"/>
  <c r="I2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3" i="3" a="1"/>
  <c r="I43" i="3" s="1"/>
  <c r="I44" i="3" a="1"/>
  <c r="I44" i="3" s="1"/>
  <c r="I45" i="3" a="1"/>
  <c r="I45" i="3" s="1"/>
  <c r="I46" i="3" a="1"/>
  <c r="I46" i="3" s="1"/>
  <c r="I47" i="3" a="1"/>
  <c r="I47" i="3" s="1"/>
  <c r="I48" i="3" a="1"/>
  <c r="I48" i="3" s="1"/>
  <c r="I49" i="3" a="1"/>
  <c r="I49" i="3" s="1"/>
  <c r="I50" i="3" a="1"/>
  <c r="I50" i="3" s="1"/>
  <c r="I51" i="3" a="1"/>
  <c r="I51" i="3" s="1"/>
  <c r="I53" i="3" a="1"/>
  <c r="I53" i="3" s="1"/>
  <c r="I56" i="3" a="1"/>
  <c r="I56" i="3" s="1"/>
  <c r="I57" i="3" a="1"/>
  <c r="I57" i="3" s="1"/>
  <c r="I58" i="3" a="1"/>
  <c r="I58" i="3" s="1"/>
  <c r="I59" i="3" a="1"/>
  <c r="I59" i="3" s="1"/>
  <c r="I60" i="3" a="1"/>
  <c r="I60" i="3" s="1"/>
  <c r="I61" i="3" a="1"/>
  <c r="I61" i="3" s="1"/>
  <c r="I63" i="3" a="1"/>
  <c r="I63" i="3" s="1"/>
  <c r="I64" i="3" a="1"/>
  <c r="I64" i="3" s="1"/>
  <c r="I65" i="3" a="1"/>
  <c r="I65" i="3" s="1"/>
  <c r="I66" i="3" a="1"/>
  <c r="I66" i="3" s="1"/>
  <c r="I67" i="3" a="1"/>
  <c r="I67" i="3" s="1"/>
  <c r="I68" i="3" a="1"/>
  <c r="I68" i="3" s="1"/>
  <c r="I71" i="3" a="1"/>
  <c r="I71" i="3" s="1"/>
  <c r="I72" i="3" a="1"/>
  <c r="I72" i="3" s="1"/>
  <c r="I73" i="3" a="1"/>
  <c r="I73" i="3" s="1"/>
  <c r="I75" i="3" a="1"/>
  <c r="I75" i="3" s="1"/>
  <c r="I77" i="3" a="1"/>
  <c r="I77" i="3" s="1"/>
  <c r="I78" i="3" a="1"/>
  <c r="I78" i="3" s="1"/>
  <c r="I79" i="3" a="1"/>
  <c r="I79" i="3" s="1"/>
  <c r="I80" i="3" a="1"/>
  <c r="I80" i="3" s="1"/>
  <c r="I81" i="3" a="1"/>
  <c r="I81" i="3" s="1"/>
  <c r="I84" i="3" a="1"/>
  <c r="I84" i="3" s="1"/>
  <c r="I86" i="3" a="1"/>
  <c r="I86" i="3" s="1"/>
  <c r="I87" i="3" a="1"/>
  <c r="I87" i="3" s="1"/>
  <c r="I88" i="3" a="1"/>
  <c r="I88" i="3" s="1"/>
  <c r="I89" i="3" a="1"/>
  <c r="I89" i="3" s="1"/>
  <c r="I91" i="3" a="1"/>
  <c r="I91" i="3" s="1"/>
  <c r="I92" i="3" a="1"/>
  <c r="I92" i="3" s="1"/>
  <c r="I93" i="3" a="1"/>
  <c r="I93" i="3" s="1"/>
  <c r="I94" i="3" a="1"/>
  <c r="I94" i="3" s="1"/>
  <c r="I95" i="3" a="1"/>
  <c r="I95" i="3" s="1"/>
  <c r="I98" i="3" a="1"/>
  <c r="I98" i="3" s="1"/>
  <c r="I99" i="3" a="1"/>
  <c r="I99" i="3" s="1"/>
  <c r="I100" i="3" a="1"/>
  <c r="I100" i="3" s="1"/>
  <c r="I101" i="3" a="1"/>
  <c r="I101" i="3" s="1"/>
  <c r="AA14" i="3"/>
  <c r="AA15" i="3"/>
  <c r="AA16" i="3"/>
  <c r="AA17" i="3"/>
  <c r="AA18" i="3"/>
  <c r="AA13" i="3"/>
  <c r="V14" i="3"/>
  <c r="V15" i="3"/>
  <c r="V16" i="3"/>
  <c r="V17" i="3"/>
  <c r="V18" i="3"/>
  <c r="V13" i="3"/>
  <c r="V3" i="3"/>
  <c r="W3" i="3"/>
  <c r="X3" i="3"/>
  <c r="Y3" i="3"/>
  <c r="Z3" i="3"/>
  <c r="V4" i="3"/>
  <c r="W4" i="3"/>
  <c r="X4" i="3"/>
  <c r="Y4" i="3"/>
  <c r="Z4" i="3"/>
  <c r="V5" i="3"/>
  <c r="W5" i="3"/>
  <c r="X5" i="3"/>
  <c r="Y5" i="3"/>
  <c r="Z5" i="3"/>
  <c r="V6" i="3"/>
  <c r="W6" i="3"/>
  <c r="X6" i="3"/>
  <c r="Y6" i="3"/>
  <c r="Z6" i="3"/>
  <c r="V7" i="3"/>
  <c r="W7" i="3"/>
  <c r="X7" i="3"/>
  <c r="Y7" i="3"/>
  <c r="Z7" i="3"/>
  <c r="W2" i="3"/>
  <c r="X2" i="3"/>
  <c r="Y2" i="3"/>
  <c r="Z2" i="3"/>
  <c r="V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2" i="3"/>
  <c r="G10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<sst xmlns="http://schemas.openxmlformats.org/spreadsheetml/2006/main" count="2586" uniqueCount="366">
  <si>
    <t>Employee ID</t>
  </si>
  <si>
    <t>Name</t>
  </si>
  <si>
    <t>Department</t>
  </si>
  <si>
    <t>Position</t>
  </si>
  <si>
    <t>Age</t>
  </si>
  <si>
    <t>Salary</t>
  </si>
  <si>
    <t>Experience (Years)</t>
  </si>
  <si>
    <t>Email</t>
  </si>
  <si>
    <t>Contact No</t>
  </si>
  <si>
    <t>Account Number</t>
  </si>
  <si>
    <t>Account Type</t>
  </si>
  <si>
    <t>Account Balance</t>
  </si>
  <si>
    <t>Neha</t>
  </si>
  <si>
    <t>Sales</t>
  </si>
  <si>
    <t>Manager</t>
  </si>
  <si>
    <t>neha@company.com</t>
  </si>
  <si>
    <t>9136459698</t>
  </si>
  <si>
    <t>4753276799</t>
  </si>
  <si>
    <t>Savings</t>
  </si>
  <si>
    <t>Rohit</t>
  </si>
  <si>
    <t>Finance</t>
  </si>
  <si>
    <t>Lead</t>
  </si>
  <si>
    <t>rohit@company.com</t>
  </si>
  <si>
    <t>9616452976</t>
  </si>
  <si>
    <t>3748250717</t>
  </si>
  <si>
    <t>Rahul</t>
  </si>
  <si>
    <t>Marketing</t>
  </si>
  <si>
    <t>Executive</t>
  </si>
  <si>
    <t>rahul@company.com</t>
  </si>
  <si>
    <t>9990248152</t>
  </si>
  <si>
    <t>3130497248</t>
  </si>
  <si>
    <t>Current</t>
  </si>
  <si>
    <t>Karan</t>
  </si>
  <si>
    <t>IT</t>
  </si>
  <si>
    <t>karan@company.com</t>
  </si>
  <si>
    <t>9360516968</t>
  </si>
  <si>
    <t>4607615127</t>
  </si>
  <si>
    <t>savings</t>
  </si>
  <si>
    <t xml:space="preserve"> rahul </t>
  </si>
  <si>
    <t>Analyst</t>
  </si>
  <si>
    <t>9999437439</t>
  </si>
  <si>
    <t>4238044854</t>
  </si>
  <si>
    <t>intern</t>
  </si>
  <si>
    <t>9455003367</t>
  </si>
  <si>
    <t>7798221617</t>
  </si>
  <si>
    <t>Vikram</t>
  </si>
  <si>
    <t>sales</t>
  </si>
  <si>
    <t>vikram@company.com</t>
  </si>
  <si>
    <t>9876800561</t>
  </si>
  <si>
    <t>5646077814</t>
  </si>
  <si>
    <t>Sneha</t>
  </si>
  <si>
    <t>sneha@company.com</t>
  </si>
  <si>
    <t>9330439863</t>
  </si>
  <si>
    <t>2088675552</t>
  </si>
  <si>
    <t>7462840130</t>
  </si>
  <si>
    <t xml:space="preserve"> amit </t>
  </si>
  <si>
    <t>amit@company.com</t>
  </si>
  <si>
    <t>9446633245</t>
  </si>
  <si>
    <t>1199445580</t>
  </si>
  <si>
    <t>Pooja</t>
  </si>
  <si>
    <t>pooja@company.com</t>
  </si>
  <si>
    <t>9793214433</t>
  </si>
  <si>
    <t>7418850246</t>
  </si>
  <si>
    <t>9827494789</t>
  </si>
  <si>
    <t>8481857849</t>
  </si>
  <si>
    <t>9412445747</t>
  </si>
  <si>
    <t>7619808746</t>
  </si>
  <si>
    <t>it</t>
  </si>
  <si>
    <t>9709853050</t>
  </si>
  <si>
    <t xml:space="preserve">5428631263 </t>
  </si>
  <si>
    <t>9437910168</t>
  </si>
  <si>
    <t>3263548166</t>
  </si>
  <si>
    <t>9802424208</t>
  </si>
  <si>
    <t>9985277739</t>
  </si>
  <si>
    <t>current</t>
  </si>
  <si>
    <t>Amit</t>
  </si>
  <si>
    <t>9495901693</t>
  </si>
  <si>
    <t>2490955707</t>
  </si>
  <si>
    <t>manager</t>
  </si>
  <si>
    <t>4886120216</t>
  </si>
  <si>
    <t>9359405999</t>
  </si>
  <si>
    <t>6342479879</t>
  </si>
  <si>
    <t>Intern</t>
  </si>
  <si>
    <t>9921757368</t>
  </si>
  <si>
    <t>3793262083</t>
  </si>
  <si>
    <t>marketing</t>
  </si>
  <si>
    <t>9325650844</t>
  </si>
  <si>
    <t>3094033260</t>
  </si>
  <si>
    <t>9126143712</t>
  </si>
  <si>
    <t>7894801828</t>
  </si>
  <si>
    <t>9640740802</t>
  </si>
  <si>
    <t>8890516096</t>
  </si>
  <si>
    <t>HR</t>
  </si>
  <si>
    <t>priya@company.com</t>
  </si>
  <si>
    <t>9220572748</t>
  </si>
  <si>
    <t>9641601394</t>
  </si>
  <si>
    <t xml:space="preserve"> anjali </t>
  </si>
  <si>
    <t>anjali@company.com</t>
  </si>
  <si>
    <t>9356159755</t>
  </si>
  <si>
    <t>4272110288</t>
  </si>
  <si>
    <t>9156918953</t>
  </si>
  <si>
    <t>1424747903</t>
  </si>
  <si>
    <t>Priya</t>
  </si>
  <si>
    <t>9536077382</t>
  </si>
  <si>
    <t>hr</t>
  </si>
  <si>
    <t>9909484085</t>
  </si>
  <si>
    <t xml:space="preserve">2203313877 </t>
  </si>
  <si>
    <t>9391555215</t>
  </si>
  <si>
    <t>1071037310</t>
  </si>
  <si>
    <t xml:space="preserve"> rohit </t>
  </si>
  <si>
    <t>executive</t>
  </si>
  <si>
    <t>9806610030</t>
  </si>
  <si>
    <t>6089660973</t>
  </si>
  <si>
    <t>9723140487</t>
  </si>
  <si>
    <t>9230343445</t>
  </si>
  <si>
    <t>9613966804</t>
  </si>
  <si>
    <t>1642475335</t>
  </si>
  <si>
    <t>9941232111</t>
  </si>
  <si>
    <t>9347444860</t>
  </si>
  <si>
    <t>Anjali</t>
  </si>
  <si>
    <t>9527471678</t>
  </si>
  <si>
    <t>2806555571</t>
  </si>
  <si>
    <t>finance</t>
  </si>
  <si>
    <t>9190393393</t>
  </si>
  <si>
    <t>3123428027</t>
  </si>
  <si>
    <t>4502826184</t>
  </si>
  <si>
    <t>9451337607</t>
  </si>
  <si>
    <t>1691005399</t>
  </si>
  <si>
    <t>9434659483</t>
  </si>
  <si>
    <t>8678806504</t>
  </si>
  <si>
    <t>9938582988</t>
  </si>
  <si>
    <t>5834901648</t>
  </si>
  <si>
    <t xml:space="preserve"> sneha </t>
  </si>
  <si>
    <t>9987047015</t>
  </si>
  <si>
    <t>1526950961</t>
  </si>
  <si>
    <t>9480409283</t>
  </si>
  <si>
    <t>8738042495</t>
  </si>
  <si>
    <t>9675824573</t>
  </si>
  <si>
    <t xml:space="preserve">6500544609 </t>
  </si>
  <si>
    <t>9269352830</t>
  </si>
  <si>
    <t>9985690926</t>
  </si>
  <si>
    <t>9571462371</t>
  </si>
  <si>
    <t>4750199816</t>
  </si>
  <si>
    <t>5656983447</t>
  </si>
  <si>
    <t>9801350766</t>
  </si>
  <si>
    <t>6126391856</t>
  </si>
  <si>
    <t>9761549180</t>
  </si>
  <si>
    <t>9474213808</t>
  </si>
  <si>
    <t>analyst</t>
  </si>
  <si>
    <t>9582656620</t>
  </si>
  <si>
    <t>2881030229</t>
  </si>
  <si>
    <t>9596307357</t>
  </si>
  <si>
    <t>1640404956</t>
  </si>
  <si>
    <t>9576856281</t>
  </si>
  <si>
    <t>4971952763</t>
  </si>
  <si>
    <t>9870285161</t>
  </si>
  <si>
    <t>7563105798</t>
  </si>
  <si>
    <t>9314756631</t>
  </si>
  <si>
    <t>1318182982</t>
  </si>
  <si>
    <t>9560223693</t>
  </si>
  <si>
    <t>3432650339</t>
  </si>
  <si>
    <t>lead</t>
  </si>
  <si>
    <t>5336124046</t>
  </si>
  <si>
    <t xml:space="preserve"> priya </t>
  </si>
  <si>
    <t>9699689526</t>
  </si>
  <si>
    <t>3758360937</t>
  </si>
  <si>
    <t>9389500099</t>
  </si>
  <si>
    <t xml:space="preserve">6584222336 </t>
  </si>
  <si>
    <t>9873890785</t>
  </si>
  <si>
    <t>3637962175</t>
  </si>
  <si>
    <t>9595820978</t>
  </si>
  <si>
    <t>4523316315</t>
  </si>
  <si>
    <t>9419205647</t>
  </si>
  <si>
    <t>1448086378</t>
  </si>
  <si>
    <t>9252594854</t>
  </si>
  <si>
    <t>1742098328</t>
  </si>
  <si>
    <t>9269449797</t>
  </si>
  <si>
    <t>5151408539</t>
  </si>
  <si>
    <t>9108929412</t>
  </si>
  <si>
    <t>4794079655</t>
  </si>
  <si>
    <t>9866487024</t>
  </si>
  <si>
    <t>9574356943</t>
  </si>
  <si>
    <t>5507920017</t>
  </si>
  <si>
    <t>9585384082</t>
  </si>
  <si>
    <t>3427391616</t>
  </si>
  <si>
    <t>9829534634</t>
  </si>
  <si>
    <t>1104649391</t>
  </si>
  <si>
    <t>9838807615</t>
  </si>
  <si>
    <t>1721996621</t>
  </si>
  <si>
    <t>9188492567</t>
  </si>
  <si>
    <t>9419774027</t>
  </si>
  <si>
    <t>9827284049</t>
  </si>
  <si>
    <t>1250285920</t>
  </si>
  <si>
    <t>9252045689</t>
  </si>
  <si>
    <t xml:space="preserve">4440372236 </t>
  </si>
  <si>
    <t>9456390216</t>
  </si>
  <si>
    <t>8902474548</t>
  </si>
  <si>
    <t>1839551053</t>
  </si>
  <si>
    <t>9653843683</t>
  </si>
  <si>
    <t>2449202374</t>
  </si>
  <si>
    <t>9819158840</t>
  </si>
  <si>
    <t>6859681888</t>
  </si>
  <si>
    <t>9312810268</t>
  </si>
  <si>
    <t>7088794446</t>
  </si>
  <si>
    <t>9829460790</t>
  </si>
  <si>
    <t>5345265582</t>
  </si>
  <si>
    <t>9483860491</t>
  </si>
  <si>
    <t>6902951118</t>
  </si>
  <si>
    <t>9247202320</t>
  </si>
  <si>
    <t>9037210344</t>
  </si>
  <si>
    <t>9489013894</t>
  </si>
  <si>
    <t>5561939188</t>
  </si>
  <si>
    <t>9889365165</t>
  </si>
  <si>
    <t>4883842083</t>
  </si>
  <si>
    <t>6799205842</t>
  </si>
  <si>
    <t>9353027492</t>
  </si>
  <si>
    <t>5882555299</t>
  </si>
  <si>
    <t>9804170531</t>
  </si>
  <si>
    <t>6956960684</t>
  </si>
  <si>
    <t>9669105751</t>
  </si>
  <si>
    <t xml:space="preserve">4620275151 </t>
  </si>
  <si>
    <t>9765542529</t>
  </si>
  <si>
    <t>4760238667</t>
  </si>
  <si>
    <t>9649419438</t>
  </si>
  <si>
    <t>5779395916</t>
  </si>
  <si>
    <t>9800577081</t>
  </si>
  <si>
    <t>9803710408</t>
  </si>
  <si>
    <t>9782976812</t>
  </si>
  <si>
    <t>4253712524</t>
  </si>
  <si>
    <t>9852329798</t>
  </si>
  <si>
    <t>5663618037</t>
  </si>
  <si>
    <t>3646893061</t>
  </si>
  <si>
    <t>9949866678</t>
  </si>
  <si>
    <t>2860931011</t>
  </si>
  <si>
    <t>9610170481</t>
  </si>
  <si>
    <t>2570919599</t>
  </si>
  <si>
    <t>9691936946</t>
  </si>
  <si>
    <t>4844897071</t>
  </si>
  <si>
    <t>9795481224</t>
  </si>
  <si>
    <t>2111219599</t>
  </si>
  <si>
    <t>9893632120</t>
  </si>
  <si>
    <t>1076744756</t>
  </si>
  <si>
    <t>9460119004</t>
  </si>
  <si>
    <t>4789890766</t>
  </si>
  <si>
    <t>9276573767</t>
  </si>
  <si>
    <t>1335041125</t>
  </si>
  <si>
    <t>9632408956</t>
  </si>
  <si>
    <t xml:space="preserve">4595881132 </t>
  </si>
  <si>
    <t>4904042694</t>
  </si>
  <si>
    <t>9908590784</t>
  </si>
  <si>
    <t>9212807851</t>
  </si>
  <si>
    <t>Advanced Practice Tasks:</t>
  </si>
  <si>
    <t>1. Remove duplicates (Employee ID / Contact / Account No)</t>
  </si>
  <si>
    <t>2. Trim spaces &amp; CLEAN text</t>
  </si>
  <si>
    <t>3. Remove blank rows</t>
  </si>
  <si>
    <t>5. Fix negative Salary &amp; Balance</t>
  </si>
  <si>
    <t>6. Split Email</t>
  </si>
  <si>
    <t>Cleaned Salary</t>
  </si>
  <si>
    <t>Cleaned Dept</t>
  </si>
  <si>
    <t>Cleaned Name</t>
  </si>
  <si>
    <t xml:space="preserve"> Rahul </t>
  </si>
  <si>
    <t xml:space="preserve"> Rohit </t>
  </si>
  <si>
    <t xml:space="preserve"> Amit </t>
  </si>
  <si>
    <t xml:space="preserve"> Sneha </t>
  </si>
  <si>
    <t xml:space="preserve"> Anjali </t>
  </si>
  <si>
    <t xml:space="preserve"> Priya </t>
  </si>
  <si>
    <t>Cleaned Position</t>
  </si>
  <si>
    <t>Cleaned A/C Balance</t>
  </si>
  <si>
    <t>Unknown</t>
  </si>
  <si>
    <t>Unkown</t>
  </si>
  <si>
    <t>Splitted Name</t>
  </si>
  <si>
    <t>Splitted Domain</t>
  </si>
  <si>
    <t>8. Sort &amp; Filter</t>
  </si>
  <si>
    <t>Dept/Position</t>
  </si>
  <si>
    <t>7. Count the no of employee in each positions of every department</t>
  </si>
  <si>
    <t xml:space="preserve">Dept </t>
  </si>
  <si>
    <t>Avg salary</t>
  </si>
  <si>
    <t>Dept</t>
  </si>
  <si>
    <t>Max salary</t>
  </si>
  <si>
    <t>Grade</t>
  </si>
  <si>
    <t>x</t>
  </si>
  <si>
    <t>Grade C</t>
  </si>
  <si>
    <t>Grade A</t>
  </si>
  <si>
    <t>Grade B</t>
  </si>
  <si>
    <t>Exp years</t>
  </si>
  <si>
    <t>&gt;=9</t>
  </si>
  <si>
    <t>&gt;=5</t>
  </si>
  <si>
    <t>&gt;=4</t>
  </si>
  <si>
    <t>9. Find max salary of each dept</t>
  </si>
  <si>
    <t>10. Highlight salary&gt; 80000</t>
  </si>
  <si>
    <t>11.Highlitght the entire row of Sales and IT Dept</t>
  </si>
  <si>
    <t>12.Count avg salary of each department</t>
  </si>
  <si>
    <t>13.Use vlookup and xlookup</t>
  </si>
  <si>
    <t>14. If yr&gt;x for every analyst, then</t>
  </si>
  <si>
    <t>neha</t>
  </si>
  <si>
    <t>company.com</t>
  </si>
  <si>
    <t>amit</t>
  </si>
  <si>
    <t>rohit</t>
  </si>
  <si>
    <t>rahul</t>
  </si>
  <si>
    <t>karan</t>
  </si>
  <si>
    <t>vikram</t>
  </si>
  <si>
    <t>sneha</t>
  </si>
  <si>
    <t>pooja</t>
  </si>
  <si>
    <t>priya</t>
  </si>
  <si>
    <t>anjali</t>
  </si>
  <si>
    <t>Cleaned A/C Type</t>
  </si>
  <si>
    <t>Cleaned Emp ID</t>
  </si>
  <si>
    <t>Emp ID</t>
  </si>
  <si>
    <t>Pos</t>
  </si>
  <si>
    <t>Exp</t>
  </si>
  <si>
    <t>A/C No</t>
  </si>
  <si>
    <t>VLOOKUP</t>
  </si>
  <si>
    <t>XLOOKUP</t>
  </si>
  <si>
    <t>4. Standardize case (Name, Dept, Position)</t>
  </si>
  <si>
    <t>Class/Subjects</t>
  </si>
  <si>
    <t>8:00-8:45</t>
  </si>
  <si>
    <t>8:45-9:30</t>
  </si>
  <si>
    <t>9:30-10:15</t>
  </si>
  <si>
    <t>10:15-11:00</t>
  </si>
  <si>
    <t>11:00-11:15</t>
  </si>
  <si>
    <t>11:15-12:00</t>
  </si>
  <si>
    <t>Maths</t>
  </si>
  <si>
    <t>Maths(AP)</t>
  </si>
  <si>
    <t>Maths(JK)</t>
  </si>
  <si>
    <t>Maths(PG)</t>
  </si>
  <si>
    <t>Break</t>
  </si>
  <si>
    <t>Maths(AB)</t>
  </si>
  <si>
    <t>Science</t>
  </si>
  <si>
    <t>Science(SP)</t>
  </si>
  <si>
    <t>Science(AB)</t>
  </si>
  <si>
    <t>Science(PO)</t>
  </si>
  <si>
    <t>Science(PH)</t>
  </si>
  <si>
    <t>History</t>
  </si>
  <si>
    <t>History(PO)</t>
  </si>
  <si>
    <t>History(MP)</t>
  </si>
  <si>
    <t>History(AP)</t>
  </si>
  <si>
    <t>History(KK)</t>
  </si>
  <si>
    <t>Geography</t>
  </si>
  <si>
    <t>Geography(JK)</t>
  </si>
  <si>
    <t>Geography(APJ)</t>
  </si>
  <si>
    <t>Geography(SP)</t>
  </si>
  <si>
    <t>Geography(AP)</t>
  </si>
  <si>
    <t>Geography(AN)</t>
  </si>
  <si>
    <t>Phy Edu</t>
  </si>
  <si>
    <t>Phy Edu(AP)</t>
  </si>
  <si>
    <t>Phy Edu(JK)</t>
  </si>
  <si>
    <t>Phy Edu(KK)</t>
  </si>
  <si>
    <t>Phy Edu(PG)</t>
  </si>
  <si>
    <t>Phy Edu(APJ)</t>
  </si>
  <si>
    <t>Art</t>
  </si>
  <si>
    <t>Art(AB)</t>
  </si>
  <si>
    <t>Art(KK)</t>
  </si>
  <si>
    <t>Art(PG)</t>
  </si>
  <si>
    <t>Art(MP)</t>
  </si>
  <si>
    <t>Art(AP)</t>
  </si>
  <si>
    <t>Comp Sci</t>
  </si>
  <si>
    <t>Comp Sci(PO)</t>
  </si>
  <si>
    <t>Comp Sci(PG)</t>
  </si>
  <si>
    <t>Comp Sci(AB)</t>
  </si>
  <si>
    <t>Comp Sci(APJ)</t>
  </si>
  <si>
    <t>Comp Sci(AN)</t>
  </si>
  <si>
    <t>Row_no</t>
  </si>
  <si>
    <t>Column_no</t>
  </si>
  <si>
    <t>Savings A/C Type</t>
  </si>
  <si>
    <t>Current A/C Type</t>
  </si>
  <si>
    <t>Which teacher is alloted to each subject and at what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</si>
</sst>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venir Next LT Pro Dem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49" fontId="0" fillId="0" borderId="0" xfId="0" applyNumberFormat="1"/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0" fillId="0" borderId="0" xfId="0" applyNumberFormat="1"/>
    <xf numFmtId="164" fontId="2" fillId="2" borderId="0" xfId="0" applyNumberFormat="1" applyFont="1" applyFill="1"/>
    <xf numFmtId="0" fontId="4" fillId="0" borderId="0" xfId="0" applyFont="1" applyAlignment="1">
      <alignment vertical="center"/>
    </xf>
    <xf numFmtId="0" fontId="5" fillId="0" borderId="0" xfId="0" applyFont="1"/>
    <xf numFmtId="1" fontId="4" fillId="0" borderId="1" xfId="1" applyNumberFormat="1" applyFont="1" applyBorder="1" applyAlignment="1">
      <alignment vertical="center"/>
    </xf>
    <xf numFmtId="1" fontId="0" fillId="0" borderId="0" xfId="1" applyNumberFormat="1" applyFont="1"/>
    <xf numFmtId="0" fontId="7" fillId="0" borderId="0" xfId="2"/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4" borderId="2" xfId="0" applyFont="1" applyFill="1" applyBorder="1"/>
    <xf numFmtId="0" fontId="9" fillId="0" borderId="0" xfId="0" applyFont="1"/>
    <xf numFmtId="164" fontId="5" fillId="4" borderId="2" xfId="0" applyNumberFormat="1" applyFont="1" applyFill="1" applyBorder="1"/>
    <xf numFmtId="0" fontId="0" fillId="5" borderId="2" xfId="0" applyFill="1" applyBorder="1"/>
    <xf numFmtId="0" fontId="10" fillId="0" borderId="0" xfId="0" applyFont="1"/>
    <xf numFmtId="0" fontId="2" fillId="5" borderId="0" xfId="0" applyFont="1" applyFill="1"/>
    <xf numFmtId="0" fontId="2" fillId="5" borderId="2" xfId="0" applyFont="1" applyFill="1" applyBorder="1"/>
    <xf numFmtId="0" fontId="0" fillId="0" borderId="2" xfId="0" applyBorder="1"/>
    <xf numFmtId="0" fontId="0" fillId="5" borderId="3" xfId="0" applyFill="1" applyBorder="1"/>
    <xf numFmtId="0" fontId="11" fillId="0" borderId="1" xfId="0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" fontId="11" fillId="0" borderId="1" xfId="1" applyNumberFormat="1" applyFont="1" applyBorder="1" applyAlignment="1">
      <alignment vertical="center"/>
    </xf>
    <xf numFmtId="49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" fontId="6" fillId="0" borderId="0" xfId="1" applyNumberFormat="1" applyFont="1"/>
    <xf numFmtId="0" fontId="12" fillId="0" borderId="0" xfId="0" applyFont="1"/>
    <xf numFmtId="0" fontId="13" fillId="0" borderId="0" xfId="0" applyFont="1"/>
    <xf numFmtId="0" fontId="12" fillId="5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4" borderId="2" xfId="0" applyFont="1" applyFill="1" applyBorder="1" applyAlignment="1">
      <alignment horizontal="center"/>
    </xf>
    <xf numFmtId="49" fontId="12" fillId="4" borderId="2" xfId="0" applyNumberFormat="1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164" fontId="14" fillId="4" borderId="2" xfId="0" applyNumberFormat="1" applyFont="1" applyFill="1" applyBorder="1" applyAlignment="1">
      <alignment horizontal="center" vertical="center"/>
    </xf>
    <xf numFmtId="1" fontId="14" fillId="4" borderId="2" xfId="1" applyNumberFormat="1" applyFont="1" applyFill="1" applyBorder="1" applyAlignment="1">
      <alignment horizontal="center" vertical="center"/>
    </xf>
    <xf numFmtId="49" fontId="14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64" fontId="15" fillId="4" borderId="2" xfId="0" applyNumberFormat="1" applyFont="1" applyFill="1" applyBorder="1" applyAlignment="1">
      <alignment horizontal="center" vertical="center"/>
    </xf>
    <xf numFmtId="1" fontId="15" fillId="4" borderId="2" xfId="1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4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E5387-C5AC-48E9-BAA9-3DDDFB055223}" name="Table1" displayName="Table1" ref="U1:Z7" totalsRowShown="0">
  <autoFilter ref="U1:Z7" xr:uid="{CC3E5387-C5AC-48E9-BAA9-3DDDFB055223}"/>
  <tableColumns count="6">
    <tableColumn id="1" xr3:uid="{FA816F6B-19C8-4C77-85DD-158AC2E10C96}" name="Dept/Position"/>
    <tableColumn id="2" xr3:uid="{6B6F1511-50B6-4CA8-BDF3-D9F9487A7BC4}" name="Manager">
      <calculatedColumnFormula>COUNTIFS($D:$D,$U2,$E:$E,V$1)</calculatedColumnFormula>
    </tableColumn>
    <tableColumn id="3" xr3:uid="{2A7B76F4-DDC5-462D-8F1C-CEA0A633871E}" name="Executive">
      <calculatedColumnFormula>COUNTIFS($D:$D,$U2,$E:$E,W$1)</calculatedColumnFormula>
    </tableColumn>
    <tableColumn id="4" xr3:uid="{6CFF3731-796C-4A20-A099-441B2E12E819}" name="Lead">
      <calculatedColumnFormula>COUNTIFS($D:$D,$U2,$E:$E,X$1)</calculatedColumnFormula>
    </tableColumn>
    <tableColumn id="5" xr3:uid="{F50633C8-75C7-4019-9435-DE30C3B0291B}" name="Analyst">
      <calculatedColumnFormula>COUNTIFS($D:$D,$U2,$E:$E,Y$1)</calculatedColumnFormula>
    </tableColumn>
    <tableColumn id="6" xr3:uid="{E806116F-1B76-475B-942E-596EBFA05830}" name="Intern">
      <calculatedColumnFormula>COUNTIFS($D:$D,$U2,$E:$E,Z$1)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6CEA4-32FF-4D3D-87C1-03C2CDFE01D7}" name="Table2" displayName="Table2" ref="U12:V18" totalsRowShown="0">
  <autoFilter ref="U12:V18" xr:uid="{5076CEA4-32FF-4D3D-87C1-03C2CDFE01D7}"/>
  <tableColumns count="2">
    <tableColumn id="1" xr3:uid="{13D46070-31B9-465E-A980-8354BE71A595}" name="Dept "/>
    <tableColumn id="2" xr3:uid="{66561F51-F91D-4163-ACDA-610ABC223102}" name="Avg salary">
      <calculatedColumnFormula>AVERAGEIF(D:D,U13,G1)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5E4A6A-5EA8-4ACC-8A9E-8A1A53935270}" name="Table3" displayName="Table3" ref="Z12:AA18" totalsRowShown="0">
  <autoFilter ref="Z12:AA18" xr:uid="{075E4A6A-5EA8-4ACC-8A9E-8A1A53935270}"/>
  <tableColumns count="2">
    <tableColumn id="1" xr3:uid="{C5E8A775-5060-4765-ADB1-336D4B4BB1BD}" name="Dept"/>
    <tableColumn id="2" xr3:uid="{C1854FE7-3ABB-4B79-83FD-B434D1998B0E}" name="Max salary">
      <calculatedColumnFormula>_xlfn.MAXIFS(G:G,D:D,Z13)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company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amit@company.com" TargetMode="External"/><Relationship Id="rId1" Type="http://schemas.openxmlformats.org/officeDocument/2006/relationships/hyperlink" Target="mailto:neha@company.com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company.com" TargetMode="External"/><Relationship Id="rId2" Type="http://schemas.openxmlformats.org/officeDocument/2006/relationships/hyperlink" Target="mailto:amit@company.com" TargetMode="External"/><Relationship Id="rId1" Type="http://schemas.openxmlformats.org/officeDocument/2006/relationships/hyperlink" Target="mailto:neha@company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company.com" TargetMode="External"/><Relationship Id="rId2" Type="http://schemas.openxmlformats.org/officeDocument/2006/relationships/hyperlink" Target="mailto:neha@company.com" TargetMode="External"/><Relationship Id="rId1" Type="http://schemas.openxmlformats.org/officeDocument/2006/relationships/hyperlink" Target="mailto:amit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zoomScale="86" workbookViewId="0">
      <selection activeCell="F1" sqref="F1:F1048576"/>
    </sheetView>
  </sheetViews>
  <sheetFormatPr defaultRowHeight="14.4" x14ac:dyDescent="0.3"/>
  <cols>
    <col min="1" max="12" width="15.44140625" customWidth="1"/>
    <col min="13" max="13" width="1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>
        <v>1</v>
      </c>
      <c r="B2" t="s">
        <v>12</v>
      </c>
      <c r="C2" t="s">
        <v>13</v>
      </c>
      <c r="D2" t="s">
        <v>14</v>
      </c>
      <c r="E2">
        <v>48</v>
      </c>
      <c r="F2">
        <v>64609</v>
      </c>
      <c r="G2">
        <v>1</v>
      </c>
      <c r="H2" t="s">
        <v>15</v>
      </c>
      <c r="I2" t="s">
        <v>16</v>
      </c>
      <c r="J2" t="s">
        <v>17</v>
      </c>
      <c r="K2" t="s">
        <v>18</v>
      </c>
      <c r="L2">
        <v>177930</v>
      </c>
    </row>
    <row r="3" spans="1:13" x14ac:dyDescent="0.3">
      <c r="A3">
        <v>2</v>
      </c>
      <c r="B3" t="s">
        <v>19</v>
      </c>
      <c r="C3" t="s">
        <v>20</v>
      </c>
      <c r="D3" t="s">
        <v>21</v>
      </c>
      <c r="E3">
        <v>32</v>
      </c>
      <c r="F3">
        <v>91565</v>
      </c>
      <c r="G3">
        <v>0</v>
      </c>
      <c r="H3" t="s">
        <v>22</v>
      </c>
      <c r="I3" t="s">
        <v>23</v>
      </c>
      <c r="J3" t="s">
        <v>24</v>
      </c>
      <c r="K3" t="s">
        <v>18</v>
      </c>
      <c r="L3">
        <v>277805</v>
      </c>
    </row>
    <row r="4" spans="1:13" x14ac:dyDescent="0.3">
      <c r="A4">
        <v>3</v>
      </c>
      <c r="B4" t="s">
        <v>25</v>
      </c>
      <c r="C4" t="s">
        <v>26</v>
      </c>
      <c r="D4" t="s">
        <v>27</v>
      </c>
      <c r="E4">
        <v>31</v>
      </c>
      <c r="F4">
        <v>33644</v>
      </c>
      <c r="G4">
        <v>1</v>
      </c>
      <c r="H4" t="s">
        <v>28</v>
      </c>
      <c r="I4" t="s">
        <v>29</v>
      </c>
      <c r="J4" t="s">
        <v>30</v>
      </c>
      <c r="K4" t="s">
        <v>31</v>
      </c>
      <c r="L4">
        <v>499167</v>
      </c>
    </row>
    <row r="5" spans="1:13" x14ac:dyDescent="0.3">
      <c r="A5">
        <v>4</v>
      </c>
      <c r="B5" t="s">
        <v>32</v>
      </c>
      <c r="C5" t="s">
        <v>33</v>
      </c>
      <c r="D5" t="s">
        <v>21</v>
      </c>
      <c r="E5">
        <v>44</v>
      </c>
      <c r="F5">
        <v>95843</v>
      </c>
      <c r="G5">
        <v>0</v>
      </c>
      <c r="H5" t="s">
        <v>34</v>
      </c>
      <c r="I5" t="s">
        <v>35</v>
      </c>
      <c r="J5" t="s">
        <v>36</v>
      </c>
      <c r="K5" t="s">
        <v>37</v>
      </c>
      <c r="L5">
        <v>233260</v>
      </c>
    </row>
    <row r="6" spans="1:13" x14ac:dyDescent="0.3">
      <c r="A6">
        <v>5</v>
      </c>
      <c r="B6" t="s">
        <v>38</v>
      </c>
      <c r="C6" t="s">
        <v>33</v>
      </c>
      <c r="D6" t="s">
        <v>39</v>
      </c>
      <c r="E6">
        <v>24</v>
      </c>
      <c r="F6">
        <v>86795</v>
      </c>
      <c r="G6">
        <v>9</v>
      </c>
      <c r="H6" t="s">
        <v>28</v>
      </c>
      <c r="I6" t="s">
        <v>40</v>
      </c>
      <c r="J6" t="s">
        <v>41</v>
      </c>
      <c r="K6" t="s">
        <v>18</v>
      </c>
      <c r="L6">
        <v>15864</v>
      </c>
    </row>
    <row r="7" spans="1:13" x14ac:dyDescent="0.3">
      <c r="A7">
        <v>6</v>
      </c>
      <c r="B7" t="s">
        <v>12</v>
      </c>
      <c r="C7" t="s">
        <v>20</v>
      </c>
      <c r="D7" t="s">
        <v>42</v>
      </c>
      <c r="E7">
        <v>38</v>
      </c>
      <c r="F7">
        <v>99095</v>
      </c>
      <c r="G7">
        <v>7</v>
      </c>
      <c r="H7" t="s">
        <v>15</v>
      </c>
      <c r="I7" t="s">
        <v>43</v>
      </c>
      <c r="J7" t="s">
        <v>44</v>
      </c>
      <c r="K7" t="s">
        <v>31</v>
      </c>
      <c r="L7">
        <v>146472</v>
      </c>
    </row>
    <row r="8" spans="1:13" x14ac:dyDescent="0.3">
      <c r="A8">
        <v>7</v>
      </c>
      <c r="B8" t="s">
        <v>45</v>
      </c>
      <c r="C8" t="s">
        <v>46</v>
      </c>
      <c r="D8" t="s">
        <v>21</v>
      </c>
      <c r="E8">
        <v>48</v>
      </c>
      <c r="F8">
        <v>51306</v>
      </c>
      <c r="G8">
        <v>4</v>
      </c>
      <c r="H8" t="s">
        <v>47</v>
      </c>
      <c r="I8" t="s">
        <v>48</v>
      </c>
      <c r="J8" t="s">
        <v>49</v>
      </c>
      <c r="K8" t="s">
        <v>31</v>
      </c>
      <c r="L8">
        <v>390868</v>
      </c>
    </row>
    <row r="9" spans="1:13" x14ac:dyDescent="0.3">
      <c r="A9">
        <v>8</v>
      </c>
      <c r="B9" t="s">
        <v>50</v>
      </c>
      <c r="C9" t="s">
        <v>33</v>
      </c>
      <c r="D9" t="s">
        <v>14</v>
      </c>
      <c r="E9">
        <v>34</v>
      </c>
      <c r="F9">
        <v>-91503</v>
      </c>
      <c r="G9">
        <v>10</v>
      </c>
      <c r="H9" t="s">
        <v>51</v>
      </c>
      <c r="I9" t="s">
        <v>52</v>
      </c>
      <c r="J9" t="s">
        <v>53</v>
      </c>
      <c r="K9" t="s">
        <v>37</v>
      </c>
      <c r="L9">
        <v>88985</v>
      </c>
    </row>
    <row r="10" spans="1:13" x14ac:dyDescent="0.3">
      <c r="A10">
        <v>9</v>
      </c>
      <c r="B10" t="s">
        <v>32</v>
      </c>
      <c r="C10" t="s">
        <v>20</v>
      </c>
      <c r="D10" t="s">
        <v>14</v>
      </c>
      <c r="E10">
        <v>56</v>
      </c>
      <c r="F10">
        <v>81133</v>
      </c>
      <c r="G10">
        <v>3</v>
      </c>
      <c r="H10" t="s">
        <v>34</v>
      </c>
      <c r="J10" t="s">
        <v>54</v>
      </c>
      <c r="K10" t="s">
        <v>31</v>
      </c>
      <c r="L10">
        <v>110685</v>
      </c>
    </row>
    <row r="11" spans="1:13" x14ac:dyDescent="0.3">
      <c r="A11">
        <v>14</v>
      </c>
      <c r="B11" t="s">
        <v>55</v>
      </c>
      <c r="C11" t="s">
        <v>20</v>
      </c>
      <c r="D11" t="s">
        <v>39</v>
      </c>
      <c r="E11">
        <v>40</v>
      </c>
      <c r="F11">
        <v>24760</v>
      </c>
      <c r="G11">
        <v>15</v>
      </c>
      <c r="H11" t="s">
        <v>56</v>
      </c>
      <c r="I11" t="s">
        <v>57</v>
      </c>
      <c r="J11" t="s">
        <v>58</v>
      </c>
      <c r="K11" t="s">
        <v>31</v>
      </c>
      <c r="L11">
        <v>-212817</v>
      </c>
    </row>
    <row r="12" spans="1:13" x14ac:dyDescent="0.3">
      <c r="A12">
        <v>11</v>
      </c>
      <c r="B12" t="s">
        <v>59</v>
      </c>
      <c r="C12" t="s">
        <v>33</v>
      </c>
      <c r="D12" t="s">
        <v>21</v>
      </c>
      <c r="F12">
        <v>53884</v>
      </c>
      <c r="G12">
        <v>6</v>
      </c>
      <c r="H12" t="s">
        <v>60</v>
      </c>
      <c r="I12" t="s">
        <v>61</v>
      </c>
      <c r="J12" t="s">
        <v>62</v>
      </c>
      <c r="K12" t="s">
        <v>31</v>
      </c>
      <c r="L12">
        <v>367078</v>
      </c>
    </row>
    <row r="13" spans="1:13" x14ac:dyDescent="0.3">
      <c r="A13">
        <v>12</v>
      </c>
      <c r="C13" t="s">
        <v>26</v>
      </c>
      <c r="D13" t="s">
        <v>42</v>
      </c>
      <c r="E13">
        <v>31</v>
      </c>
      <c r="F13">
        <v>97923</v>
      </c>
      <c r="G13">
        <v>13</v>
      </c>
      <c r="H13" t="s">
        <v>34</v>
      </c>
      <c r="I13" t="s">
        <v>63</v>
      </c>
      <c r="J13" t="s">
        <v>64</v>
      </c>
      <c r="K13" t="s">
        <v>37</v>
      </c>
      <c r="L13">
        <v>149044</v>
      </c>
    </row>
    <row r="14" spans="1:13" x14ac:dyDescent="0.3">
      <c r="A14">
        <v>13</v>
      </c>
      <c r="B14" t="s">
        <v>59</v>
      </c>
      <c r="C14" t="s">
        <v>13</v>
      </c>
      <c r="D14" t="s">
        <v>21</v>
      </c>
      <c r="E14">
        <v>34</v>
      </c>
      <c r="F14">
        <v>73351</v>
      </c>
      <c r="G14">
        <v>12</v>
      </c>
      <c r="H14" t="s">
        <v>60</v>
      </c>
      <c r="I14" t="s">
        <v>65</v>
      </c>
      <c r="J14" t="s">
        <v>66</v>
      </c>
      <c r="K14" t="s">
        <v>18</v>
      </c>
      <c r="L14">
        <v>495134</v>
      </c>
    </row>
    <row r="15" spans="1:13" x14ac:dyDescent="0.3">
      <c r="A15">
        <v>14</v>
      </c>
      <c r="B15" t="s">
        <v>19</v>
      </c>
      <c r="C15" t="s">
        <v>67</v>
      </c>
      <c r="D15" t="s">
        <v>27</v>
      </c>
      <c r="E15">
        <v>46</v>
      </c>
      <c r="F15">
        <v>58765</v>
      </c>
      <c r="G15">
        <v>15</v>
      </c>
      <c r="H15" t="s">
        <v>22</v>
      </c>
      <c r="I15" t="s">
        <v>68</v>
      </c>
      <c r="J15" t="s">
        <v>69</v>
      </c>
      <c r="K15" t="s">
        <v>31</v>
      </c>
      <c r="L15">
        <v>449600</v>
      </c>
    </row>
    <row r="16" spans="1:13" x14ac:dyDescent="0.3">
      <c r="A16">
        <v>15</v>
      </c>
      <c r="B16" t="s">
        <v>38</v>
      </c>
      <c r="D16" t="s">
        <v>27</v>
      </c>
      <c r="E16">
        <v>51</v>
      </c>
      <c r="F16">
        <v>87271</v>
      </c>
      <c r="G16">
        <v>1</v>
      </c>
      <c r="H16" t="s">
        <v>28</v>
      </c>
      <c r="I16" t="s">
        <v>70</v>
      </c>
      <c r="J16" t="s">
        <v>71</v>
      </c>
      <c r="K16" t="s">
        <v>31</v>
      </c>
      <c r="L16">
        <v>496804</v>
      </c>
    </row>
    <row r="17" spans="1:12" x14ac:dyDescent="0.3">
      <c r="A17">
        <v>16</v>
      </c>
      <c r="B17" t="s">
        <v>19</v>
      </c>
      <c r="C17" t="s">
        <v>20</v>
      </c>
      <c r="D17" t="s">
        <v>14</v>
      </c>
      <c r="E17">
        <v>50</v>
      </c>
      <c r="F17">
        <v>-97143</v>
      </c>
      <c r="G17">
        <v>6</v>
      </c>
      <c r="H17" t="s">
        <v>22</v>
      </c>
      <c r="I17" t="s">
        <v>72</v>
      </c>
      <c r="J17" t="s">
        <v>73</v>
      </c>
      <c r="K17" t="s">
        <v>74</v>
      </c>
      <c r="L17">
        <v>426614</v>
      </c>
    </row>
    <row r="18" spans="1:12" x14ac:dyDescent="0.3">
      <c r="A18">
        <v>17</v>
      </c>
      <c r="B18" t="s">
        <v>75</v>
      </c>
      <c r="C18" t="s">
        <v>33</v>
      </c>
      <c r="D18" t="s">
        <v>14</v>
      </c>
      <c r="E18">
        <v>35</v>
      </c>
      <c r="F18">
        <v>89544</v>
      </c>
      <c r="G18">
        <v>2</v>
      </c>
      <c r="H18" t="s">
        <v>56</v>
      </c>
      <c r="I18" t="s">
        <v>76</v>
      </c>
      <c r="J18" t="s">
        <v>77</v>
      </c>
      <c r="K18" t="s">
        <v>18</v>
      </c>
      <c r="L18">
        <v>474917</v>
      </c>
    </row>
    <row r="19" spans="1:12" x14ac:dyDescent="0.3">
      <c r="A19">
        <v>18</v>
      </c>
      <c r="B19" t="s">
        <v>12</v>
      </c>
      <c r="C19" t="s">
        <v>13</v>
      </c>
      <c r="D19" t="s">
        <v>78</v>
      </c>
      <c r="E19">
        <v>48</v>
      </c>
      <c r="F19">
        <v>88337</v>
      </c>
      <c r="G19">
        <v>11</v>
      </c>
      <c r="H19" t="s">
        <v>15</v>
      </c>
      <c r="J19" t="s">
        <v>79</v>
      </c>
      <c r="K19" t="s">
        <v>18</v>
      </c>
      <c r="L19">
        <v>484342</v>
      </c>
    </row>
    <row r="20" spans="1:12" x14ac:dyDescent="0.3">
      <c r="A20">
        <v>19</v>
      </c>
      <c r="B20" t="s">
        <v>75</v>
      </c>
      <c r="C20" t="s">
        <v>20</v>
      </c>
      <c r="D20" t="s">
        <v>39</v>
      </c>
      <c r="E20">
        <v>39</v>
      </c>
      <c r="F20">
        <v>55709</v>
      </c>
      <c r="G20">
        <v>2</v>
      </c>
      <c r="H20" t="s">
        <v>56</v>
      </c>
      <c r="I20" t="s">
        <v>80</v>
      </c>
      <c r="J20" t="s">
        <v>81</v>
      </c>
      <c r="K20" t="s">
        <v>31</v>
      </c>
      <c r="L20">
        <v>51315</v>
      </c>
    </row>
    <row r="21" spans="1:12" x14ac:dyDescent="0.3">
      <c r="A21">
        <v>13</v>
      </c>
      <c r="B21" t="s">
        <v>38</v>
      </c>
      <c r="C21" t="s">
        <v>26</v>
      </c>
      <c r="D21" t="s">
        <v>82</v>
      </c>
      <c r="E21">
        <v>48</v>
      </c>
      <c r="F21">
        <v>69125</v>
      </c>
      <c r="G21">
        <v>11</v>
      </c>
      <c r="H21" t="s">
        <v>28</v>
      </c>
      <c r="I21" t="s">
        <v>83</v>
      </c>
      <c r="J21" t="s">
        <v>84</v>
      </c>
      <c r="K21" t="s">
        <v>37</v>
      </c>
      <c r="L21">
        <v>-276706</v>
      </c>
    </row>
    <row r="22" spans="1:12" x14ac:dyDescent="0.3">
      <c r="A22">
        <v>21</v>
      </c>
      <c r="B22" t="s">
        <v>32</v>
      </c>
      <c r="C22" t="s">
        <v>85</v>
      </c>
      <c r="D22" t="s">
        <v>21</v>
      </c>
      <c r="E22">
        <v>29</v>
      </c>
      <c r="F22">
        <v>79594</v>
      </c>
      <c r="G22">
        <v>0</v>
      </c>
      <c r="H22" t="s">
        <v>34</v>
      </c>
      <c r="I22" t="s">
        <v>86</v>
      </c>
      <c r="J22" t="s">
        <v>87</v>
      </c>
      <c r="K22" t="s">
        <v>18</v>
      </c>
      <c r="L22">
        <v>212327</v>
      </c>
    </row>
    <row r="23" spans="1:12" x14ac:dyDescent="0.3">
      <c r="A23">
        <v>22</v>
      </c>
      <c r="B23" t="s">
        <v>59</v>
      </c>
      <c r="C23" t="s">
        <v>26</v>
      </c>
      <c r="D23" t="s">
        <v>82</v>
      </c>
      <c r="F23">
        <v>79891</v>
      </c>
      <c r="G23">
        <v>8</v>
      </c>
      <c r="H23" t="s">
        <v>60</v>
      </c>
      <c r="I23" t="s">
        <v>88</v>
      </c>
      <c r="J23" t="s">
        <v>89</v>
      </c>
      <c r="K23" t="s">
        <v>18</v>
      </c>
      <c r="L23">
        <v>338934</v>
      </c>
    </row>
    <row r="24" spans="1:12" x14ac:dyDescent="0.3">
      <c r="A24">
        <v>23</v>
      </c>
      <c r="B24" t="s">
        <v>25</v>
      </c>
      <c r="C24" t="s">
        <v>13</v>
      </c>
      <c r="D24" t="s">
        <v>14</v>
      </c>
      <c r="E24">
        <v>59</v>
      </c>
      <c r="F24">
        <v>28803</v>
      </c>
      <c r="G24">
        <v>9</v>
      </c>
      <c r="H24" t="s">
        <v>28</v>
      </c>
      <c r="I24" t="s">
        <v>90</v>
      </c>
      <c r="J24" t="s">
        <v>91</v>
      </c>
      <c r="K24" t="s">
        <v>31</v>
      </c>
      <c r="L24">
        <v>376847</v>
      </c>
    </row>
    <row r="25" spans="1:12" x14ac:dyDescent="0.3">
      <c r="A25">
        <v>24</v>
      </c>
      <c r="C25" t="s">
        <v>92</v>
      </c>
      <c r="D25" t="s">
        <v>78</v>
      </c>
      <c r="E25">
        <v>30</v>
      </c>
      <c r="F25">
        <v>-34567</v>
      </c>
      <c r="G25">
        <v>9</v>
      </c>
      <c r="H25" t="s">
        <v>93</v>
      </c>
      <c r="I25" t="s">
        <v>94</v>
      </c>
      <c r="J25" t="s">
        <v>95</v>
      </c>
      <c r="K25" t="s">
        <v>37</v>
      </c>
      <c r="L25">
        <v>327214</v>
      </c>
    </row>
    <row r="26" spans="1:12" x14ac:dyDescent="0.3">
      <c r="A26">
        <v>25</v>
      </c>
      <c r="B26" t="s">
        <v>96</v>
      </c>
      <c r="C26" t="s">
        <v>13</v>
      </c>
      <c r="D26" t="s">
        <v>39</v>
      </c>
      <c r="E26">
        <v>38</v>
      </c>
      <c r="F26">
        <v>75773</v>
      </c>
      <c r="G26">
        <v>10</v>
      </c>
      <c r="H26" t="s">
        <v>97</v>
      </c>
      <c r="I26" t="s">
        <v>98</v>
      </c>
      <c r="J26" t="s">
        <v>99</v>
      </c>
      <c r="K26" t="s">
        <v>31</v>
      </c>
      <c r="L26">
        <v>342488</v>
      </c>
    </row>
    <row r="27" spans="1:12" x14ac:dyDescent="0.3">
      <c r="A27">
        <v>26</v>
      </c>
      <c r="B27" t="s">
        <v>50</v>
      </c>
      <c r="C27" t="s">
        <v>20</v>
      </c>
      <c r="D27" t="s">
        <v>39</v>
      </c>
      <c r="E27">
        <v>27</v>
      </c>
      <c r="F27">
        <v>46399</v>
      </c>
      <c r="G27">
        <v>10</v>
      </c>
      <c r="H27" t="s">
        <v>51</v>
      </c>
      <c r="I27" t="s">
        <v>100</v>
      </c>
      <c r="J27" t="s">
        <v>101</v>
      </c>
      <c r="K27" t="s">
        <v>31</v>
      </c>
      <c r="L27">
        <v>258748</v>
      </c>
    </row>
    <row r="28" spans="1:12" x14ac:dyDescent="0.3">
      <c r="A28">
        <v>27</v>
      </c>
      <c r="B28" t="s">
        <v>102</v>
      </c>
      <c r="C28" t="s">
        <v>92</v>
      </c>
      <c r="D28" t="s">
        <v>21</v>
      </c>
      <c r="E28">
        <v>38</v>
      </c>
      <c r="F28">
        <v>99758</v>
      </c>
      <c r="G28">
        <v>13</v>
      </c>
      <c r="H28" t="s">
        <v>93</v>
      </c>
      <c r="J28" t="s">
        <v>103</v>
      </c>
      <c r="K28" t="s">
        <v>18</v>
      </c>
      <c r="L28">
        <v>246798</v>
      </c>
    </row>
    <row r="29" spans="1:12" x14ac:dyDescent="0.3">
      <c r="A29">
        <v>28</v>
      </c>
      <c r="B29" t="s">
        <v>32</v>
      </c>
      <c r="C29" t="s">
        <v>104</v>
      </c>
      <c r="D29" t="s">
        <v>82</v>
      </c>
      <c r="E29">
        <v>41</v>
      </c>
      <c r="F29">
        <v>62135</v>
      </c>
      <c r="G29">
        <v>15</v>
      </c>
      <c r="H29" t="s">
        <v>34</v>
      </c>
      <c r="I29" t="s">
        <v>105</v>
      </c>
      <c r="J29" t="s">
        <v>106</v>
      </c>
      <c r="K29" t="s">
        <v>37</v>
      </c>
      <c r="L29">
        <v>433948</v>
      </c>
    </row>
    <row r="30" spans="1:12" x14ac:dyDescent="0.3">
      <c r="A30">
        <v>29</v>
      </c>
      <c r="B30" t="s">
        <v>75</v>
      </c>
      <c r="C30" t="s">
        <v>92</v>
      </c>
      <c r="D30" t="s">
        <v>27</v>
      </c>
      <c r="E30">
        <v>26</v>
      </c>
      <c r="F30">
        <v>82132</v>
      </c>
      <c r="G30">
        <v>11</v>
      </c>
      <c r="H30" t="s">
        <v>56</v>
      </c>
      <c r="I30" t="s">
        <v>107</v>
      </c>
      <c r="J30" t="s">
        <v>108</v>
      </c>
      <c r="K30" t="s">
        <v>31</v>
      </c>
      <c r="L30">
        <v>430182</v>
      </c>
    </row>
    <row r="31" spans="1:12" x14ac:dyDescent="0.3">
      <c r="A31">
        <v>5</v>
      </c>
      <c r="B31" t="s">
        <v>109</v>
      </c>
      <c r="D31" t="s">
        <v>110</v>
      </c>
      <c r="E31">
        <v>57</v>
      </c>
      <c r="F31">
        <v>30041</v>
      </c>
      <c r="G31">
        <v>2</v>
      </c>
      <c r="H31" t="s">
        <v>22</v>
      </c>
      <c r="I31" t="s">
        <v>111</v>
      </c>
      <c r="J31" t="s">
        <v>112</v>
      </c>
      <c r="K31" t="s">
        <v>18</v>
      </c>
      <c r="L31">
        <v>-316030</v>
      </c>
    </row>
    <row r="32" spans="1:12" x14ac:dyDescent="0.3">
      <c r="A32">
        <v>31</v>
      </c>
      <c r="B32" t="s">
        <v>25</v>
      </c>
      <c r="C32" t="s">
        <v>20</v>
      </c>
      <c r="D32" t="s">
        <v>39</v>
      </c>
      <c r="E32">
        <v>40</v>
      </c>
      <c r="F32">
        <v>33816</v>
      </c>
      <c r="G32">
        <v>7</v>
      </c>
      <c r="H32" t="s">
        <v>28</v>
      </c>
      <c r="I32" t="s">
        <v>113</v>
      </c>
      <c r="J32" t="s">
        <v>114</v>
      </c>
      <c r="K32" t="s">
        <v>18</v>
      </c>
      <c r="L32">
        <v>486533</v>
      </c>
    </row>
    <row r="33" spans="1:12" x14ac:dyDescent="0.3">
      <c r="A33">
        <v>32</v>
      </c>
      <c r="B33" t="s">
        <v>102</v>
      </c>
      <c r="C33" t="s">
        <v>33</v>
      </c>
      <c r="D33" t="s">
        <v>21</v>
      </c>
      <c r="E33">
        <v>21</v>
      </c>
      <c r="F33">
        <v>-54975</v>
      </c>
      <c r="G33">
        <v>5</v>
      </c>
      <c r="H33" t="s">
        <v>93</v>
      </c>
      <c r="I33" t="s">
        <v>115</v>
      </c>
      <c r="J33" t="s">
        <v>116</v>
      </c>
      <c r="K33" t="s">
        <v>74</v>
      </c>
      <c r="L33">
        <v>193652</v>
      </c>
    </row>
    <row r="34" spans="1:12" x14ac:dyDescent="0.3">
      <c r="A34">
        <v>33</v>
      </c>
      <c r="B34" t="s">
        <v>50</v>
      </c>
      <c r="C34" t="s">
        <v>20</v>
      </c>
      <c r="D34" t="s">
        <v>39</v>
      </c>
      <c r="F34">
        <v>34847</v>
      </c>
      <c r="G34">
        <v>10</v>
      </c>
      <c r="H34" t="s">
        <v>51</v>
      </c>
      <c r="I34" t="s">
        <v>117</v>
      </c>
      <c r="J34" t="s">
        <v>118</v>
      </c>
      <c r="K34" t="s">
        <v>18</v>
      </c>
      <c r="L34">
        <v>36245</v>
      </c>
    </row>
    <row r="35" spans="1:12" x14ac:dyDescent="0.3">
      <c r="A35">
        <v>34</v>
      </c>
      <c r="B35" t="s">
        <v>119</v>
      </c>
      <c r="C35" t="s">
        <v>13</v>
      </c>
      <c r="D35" t="s">
        <v>27</v>
      </c>
      <c r="E35">
        <v>46</v>
      </c>
      <c r="F35">
        <v>50000</v>
      </c>
      <c r="G35">
        <v>0</v>
      </c>
      <c r="H35" t="s">
        <v>97</v>
      </c>
      <c r="I35" t="s">
        <v>120</v>
      </c>
      <c r="J35" t="s">
        <v>121</v>
      </c>
      <c r="K35" t="s">
        <v>18</v>
      </c>
      <c r="L35">
        <v>393525</v>
      </c>
    </row>
    <row r="36" spans="1:12" x14ac:dyDescent="0.3">
      <c r="A36">
        <v>35</v>
      </c>
      <c r="B36" t="s">
        <v>109</v>
      </c>
      <c r="C36" t="s">
        <v>122</v>
      </c>
      <c r="D36" t="s">
        <v>27</v>
      </c>
      <c r="E36">
        <v>23</v>
      </c>
      <c r="F36">
        <v>91874</v>
      </c>
      <c r="G36">
        <v>8</v>
      </c>
      <c r="H36" t="s">
        <v>22</v>
      </c>
      <c r="I36" t="s">
        <v>123</v>
      </c>
      <c r="J36" t="s">
        <v>124</v>
      </c>
      <c r="K36" t="s">
        <v>18</v>
      </c>
      <c r="L36">
        <v>59098</v>
      </c>
    </row>
    <row r="37" spans="1:12" x14ac:dyDescent="0.3">
      <c r="A37">
        <v>36</v>
      </c>
      <c r="C37" t="s">
        <v>92</v>
      </c>
      <c r="D37" t="s">
        <v>78</v>
      </c>
      <c r="E37">
        <v>34</v>
      </c>
      <c r="F37">
        <v>35381</v>
      </c>
      <c r="G37">
        <v>1</v>
      </c>
      <c r="H37" t="s">
        <v>22</v>
      </c>
      <c r="J37" t="s">
        <v>125</v>
      </c>
      <c r="K37" t="s">
        <v>37</v>
      </c>
      <c r="L37">
        <v>58372</v>
      </c>
    </row>
    <row r="38" spans="1:12" x14ac:dyDescent="0.3">
      <c r="A38">
        <v>37</v>
      </c>
      <c r="B38" t="s">
        <v>32</v>
      </c>
      <c r="C38" t="s">
        <v>33</v>
      </c>
      <c r="D38" t="s">
        <v>21</v>
      </c>
      <c r="E38">
        <v>33</v>
      </c>
      <c r="F38">
        <v>53894</v>
      </c>
      <c r="G38">
        <v>12</v>
      </c>
      <c r="H38" t="s">
        <v>34</v>
      </c>
      <c r="I38" t="s">
        <v>126</v>
      </c>
      <c r="J38" t="s">
        <v>127</v>
      </c>
      <c r="K38" t="s">
        <v>31</v>
      </c>
      <c r="L38">
        <v>254566</v>
      </c>
    </row>
    <row r="39" spans="1:12" x14ac:dyDescent="0.3">
      <c r="A39">
        <v>38</v>
      </c>
      <c r="B39" t="s">
        <v>45</v>
      </c>
      <c r="C39" t="s">
        <v>20</v>
      </c>
      <c r="D39" t="s">
        <v>27</v>
      </c>
      <c r="E39">
        <v>33</v>
      </c>
      <c r="F39">
        <v>65606</v>
      </c>
      <c r="G39">
        <v>2</v>
      </c>
      <c r="H39" t="s">
        <v>47</v>
      </c>
      <c r="I39" t="s">
        <v>128</v>
      </c>
      <c r="J39" t="s">
        <v>129</v>
      </c>
      <c r="K39" t="s">
        <v>18</v>
      </c>
      <c r="L39">
        <v>208021</v>
      </c>
    </row>
    <row r="40" spans="1:12" x14ac:dyDescent="0.3">
      <c r="A40">
        <v>39</v>
      </c>
      <c r="B40" t="s">
        <v>32</v>
      </c>
      <c r="C40" t="s">
        <v>92</v>
      </c>
      <c r="D40" t="s">
        <v>39</v>
      </c>
      <c r="E40">
        <v>37</v>
      </c>
      <c r="F40">
        <v>36946</v>
      </c>
      <c r="G40">
        <v>6</v>
      </c>
      <c r="H40" t="s">
        <v>34</v>
      </c>
      <c r="I40" t="s">
        <v>130</v>
      </c>
      <c r="J40" t="s">
        <v>131</v>
      </c>
      <c r="K40" t="s">
        <v>18</v>
      </c>
      <c r="L40">
        <v>273328</v>
      </c>
    </row>
    <row r="41" spans="1:12" x14ac:dyDescent="0.3">
      <c r="A41">
        <v>14</v>
      </c>
      <c r="B41" t="s">
        <v>132</v>
      </c>
      <c r="C41" t="s">
        <v>92</v>
      </c>
      <c r="D41" t="s">
        <v>39</v>
      </c>
      <c r="E41">
        <v>22</v>
      </c>
      <c r="F41">
        <v>-46704</v>
      </c>
      <c r="G41">
        <v>13</v>
      </c>
      <c r="H41" t="s">
        <v>51</v>
      </c>
      <c r="I41" t="s">
        <v>133</v>
      </c>
      <c r="J41" t="s">
        <v>134</v>
      </c>
      <c r="K41" t="s">
        <v>74</v>
      </c>
      <c r="L41">
        <v>-433201</v>
      </c>
    </row>
    <row r="42" spans="1:12" x14ac:dyDescent="0.3">
      <c r="A42">
        <v>41</v>
      </c>
      <c r="B42" t="s">
        <v>19</v>
      </c>
      <c r="C42" t="s">
        <v>26</v>
      </c>
      <c r="D42" t="s">
        <v>39</v>
      </c>
      <c r="E42">
        <v>27</v>
      </c>
      <c r="F42">
        <v>45156</v>
      </c>
      <c r="G42">
        <v>0</v>
      </c>
      <c r="H42" t="s">
        <v>22</v>
      </c>
      <c r="I42" t="s">
        <v>135</v>
      </c>
      <c r="J42" t="s">
        <v>136</v>
      </c>
      <c r="K42" t="s">
        <v>31</v>
      </c>
      <c r="L42">
        <v>154896</v>
      </c>
    </row>
    <row r="43" spans="1:12" x14ac:dyDescent="0.3">
      <c r="A43">
        <v>42</v>
      </c>
      <c r="B43" t="s">
        <v>75</v>
      </c>
      <c r="C43" t="s">
        <v>122</v>
      </c>
      <c r="D43" t="s">
        <v>42</v>
      </c>
      <c r="E43">
        <v>50</v>
      </c>
      <c r="F43">
        <v>45922</v>
      </c>
      <c r="G43">
        <v>13</v>
      </c>
      <c r="H43" t="s">
        <v>56</v>
      </c>
      <c r="I43" t="s">
        <v>137</v>
      </c>
      <c r="J43" t="s">
        <v>138</v>
      </c>
      <c r="K43" t="s">
        <v>18</v>
      </c>
      <c r="L43">
        <v>143566</v>
      </c>
    </row>
    <row r="44" spans="1:12" x14ac:dyDescent="0.3">
      <c r="A44">
        <v>43</v>
      </c>
      <c r="B44" t="s">
        <v>102</v>
      </c>
      <c r="C44" t="s">
        <v>26</v>
      </c>
      <c r="D44" t="s">
        <v>39</v>
      </c>
      <c r="E44">
        <v>20</v>
      </c>
      <c r="F44">
        <v>40675</v>
      </c>
      <c r="G44">
        <v>11</v>
      </c>
      <c r="H44" t="s">
        <v>93</v>
      </c>
      <c r="I44" t="s">
        <v>139</v>
      </c>
      <c r="J44" t="s">
        <v>140</v>
      </c>
      <c r="K44" t="s">
        <v>18</v>
      </c>
      <c r="L44">
        <v>98891</v>
      </c>
    </row>
    <row r="45" spans="1:12" x14ac:dyDescent="0.3">
      <c r="A45">
        <v>44</v>
      </c>
      <c r="B45" t="s">
        <v>25</v>
      </c>
      <c r="C45" t="s">
        <v>26</v>
      </c>
      <c r="D45" t="s">
        <v>14</v>
      </c>
      <c r="F45">
        <v>24196</v>
      </c>
      <c r="G45">
        <v>4</v>
      </c>
      <c r="H45" t="s">
        <v>28</v>
      </c>
      <c r="I45" t="s">
        <v>141</v>
      </c>
      <c r="J45" t="s">
        <v>142</v>
      </c>
      <c r="K45" t="s">
        <v>37</v>
      </c>
      <c r="L45">
        <v>478287</v>
      </c>
    </row>
    <row r="46" spans="1:12" x14ac:dyDescent="0.3">
      <c r="A46">
        <v>45</v>
      </c>
      <c r="B46" t="s">
        <v>38</v>
      </c>
      <c r="D46" t="s">
        <v>21</v>
      </c>
      <c r="E46">
        <v>27</v>
      </c>
      <c r="F46">
        <v>95185</v>
      </c>
      <c r="G46">
        <v>14</v>
      </c>
      <c r="H46" t="s">
        <v>28</v>
      </c>
      <c r="J46" t="s">
        <v>143</v>
      </c>
      <c r="K46" t="s">
        <v>31</v>
      </c>
      <c r="L46">
        <v>32182</v>
      </c>
    </row>
    <row r="47" spans="1:12" x14ac:dyDescent="0.3">
      <c r="A47">
        <v>46</v>
      </c>
      <c r="B47" t="s">
        <v>59</v>
      </c>
      <c r="C47" t="s">
        <v>92</v>
      </c>
      <c r="D47" t="s">
        <v>21</v>
      </c>
      <c r="E47">
        <v>21</v>
      </c>
      <c r="F47">
        <v>26980</v>
      </c>
      <c r="G47">
        <v>8</v>
      </c>
      <c r="H47" t="s">
        <v>60</v>
      </c>
      <c r="I47" t="s">
        <v>144</v>
      </c>
      <c r="J47" t="s">
        <v>145</v>
      </c>
      <c r="K47" t="s">
        <v>18</v>
      </c>
      <c r="L47">
        <v>392501</v>
      </c>
    </row>
    <row r="48" spans="1:12" x14ac:dyDescent="0.3">
      <c r="A48">
        <v>47</v>
      </c>
      <c r="B48" t="s">
        <v>59</v>
      </c>
      <c r="C48" t="s">
        <v>13</v>
      </c>
      <c r="D48" t="s">
        <v>21</v>
      </c>
      <c r="E48">
        <v>47</v>
      </c>
      <c r="F48">
        <v>69301</v>
      </c>
      <c r="G48">
        <v>4</v>
      </c>
      <c r="H48" t="s">
        <v>60</v>
      </c>
      <c r="I48" t="s">
        <v>146</v>
      </c>
      <c r="J48" t="s">
        <v>147</v>
      </c>
      <c r="K48" t="s">
        <v>31</v>
      </c>
      <c r="L48">
        <v>355525</v>
      </c>
    </row>
    <row r="49" spans="1:12" x14ac:dyDescent="0.3">
      <c r="A49">
        <v>48</v>
      </c>
      <c r="C49" t="s">
        <v>92</v>
      </c>
      <c r="D49" t="s">
        <v>148</v>
      </c>
      <c r="E49">
        <v>23</v>
      </c>
      <c r="F49">
        <v>-42980</v>
      </c>
      <c r="G49">
        <v>2</v>
      </c>
      <c r="H49" t="s">
        <v>51</v>
      </c>
      <c r="I49" t="s">
        <v>149</v>
      </c>
      <c r="J49" t="s">
        <v>150</v>
      </c>
      <c r="K49" t="s">
        <v>37</v>
      </c>
      <c r="L49">
        <v>19735</v>
      </c>
    </row>
    <row r="50" spans="1:12" x14ac:dyDescent="0.3">
      <c r="A50">
        <v>49</v>
      </c>
      <c r="B50" t="s">
        <v>119</v>
      </c>
      <c r="C50" t="s">
        <v>122</v>
      </c>
      <c r="D50" t="s">
        <v>82</v>
      </c>
      <c r="E50">
        <v>41</v>
      </c>
      <c r="F50">
        <v>85658</v>
      </c>
      <c r="G50">
        <v>4</v>
      </c>
      <c r="H50" t="s">
        <v>97</v>
      </c>
      <c r="I50" t="s">
        <v>151</v>
      </c>
      <c r="J50" t="s">
        <v>152</v>
      </c>
      <c r="K50" t="s">
        <v>31</v>
      </c>
      <c r="L50">
        <v>170482</v>
      </c>
    </row>
    <row r="51" spans="1:12" x14ac:dyDescent="0.3">
      <c r="A51">
        <v>17</v>
      </c>
      <c r="B51" t="s">
        <v>109</v>
      </c>
      <c r="C51" t="s">
        <v>13</v>
      </c>
      <c r="D51" t="s">
        <v>14</v>
      </c>
      <c r="E51">
        <v>57</v>
      </c>
      <c r="F51">
        <v>66972</v>
      </c>
      <c r="G51">
        <v>12</v>
      </c>
      <c r="H51" t="s">
        <v>22</v>
      </c>
      <c r="I51" t="s">
        <v>153</v>
      </c>
      <c r="J51" t="s">
        <v>154</v>
      </c>
      <c r="K51" t="s">
        <v>31</v>
      </c>
      <c r="L51">
        <v>-179035</v>
      </c>
    </row>
    <row r="52" spans="1:12" x14ac:dyDescent="0.3">
      <c r="A52">
        <v>51</v>
      </c>
      <c r="B52" t="s">
        <v>32</v>
      </c>
      <c r="C52" t="s">
        <v>92</v>
      </c>
      <c r="D52" t="s">
        <v>21</v>
      </c>
      <c r="E52">
        <v>28</v>
      </c>
      <c r="F52">
        <v>40472</v>
      </c>
      <c r="G52">
        <v>3</v>
      </c>
      <c r="H52" t="s">
        <v>34</v>
      </c>
      <c r="I52" t="s">
        <v>155</v>
      </c>
      <c r="J52" t="s">
        <v>156</v>
      </c>
      <c r="K52" t="s">
        <v>31</v>
      </c>
      <c r="L52">
        <v>96610</v>
      </c>
    </row>
    <row r="53" spans="1:12" x14ac:dyDescent="0.3">
      <c r="A53">
        <v>52</v>
      </c>
      <c r="B53" t="s">
        <v>25</v>
      </c>
      <c r="C53" t="s">
        <v>13</v>
      </c>
      <c r="D53" t="s">
        <v>27</v>
      </c>
      <c r="E53">
        <v>45</v>
      </c>
      <c r="F53">
        <v>83911</v>
      </c>
      <c r="G53">
        <v>12</v>
      </c>
      <c r="H53" t="s">
        <v>28</v>
      </c>
      <c r="I53" t="s">
        <v>157</v>
      </c>
      <c r="J53" t="s">
        <v>158</v>
      </c>
      <c r="K53" t="s">
        <v>74</v>
      </c>
      <c r="L53">
        <v>342585</v>
      </c>
    </row>
    <row r="54" spans="1:12" x14ac:dyDescent="0.3">
      <c r="A54">
        <v>53</v>
      </c>
      <c r="B54" t="s">
        <v>25</v>
      </c>
      <c r="C54" t="s">
        <v>33</v>
      </c>
      <c r="D54" t="s">
        <v>14</v>
      </c>
      <c r="E54">
        <v>20</v>
      </c>
      <c r="F54">
        <v>44969</v>
      </c>
      <c r="G54">
        <v>10</v>
      </c>
      <c r="H54" t="s">
        <v>28</v>
      </c>
      <c r="I54" t="s">
        <v>159</v>
      </c>
      <c r="J54" t="s">
        <v>160</v>
      </c>
      <c r="K54" t="s">
        <v>31</v>
      </c>
      <c r="L54">
        <v>434766</v>
      </c>
    </row>
    <row r="55" spans="1:12" x14ac:dyDescent="0.3">
      <c r="A55">
        <v>54</v>
      </c>
      <c r="B55" t="s">
        <v>119</v>
      </c>
      <c r="C55" t="s">
        <v>26</v>
      </c>
      <c r="D55" t="s">
        <v>161</v>
      </c>
      <c r="E55">
        <v>28</v>
      </c>
      <c r="F55">
        <v>68058</v>
      </c>
      <c r="G55">
        <v>13</v>
      </c>
      <c r="H55" t="s">
        <v>97</v>
      </c>
      <c r="J55" t="s">
        <v>162</v>
      </c>
      <c r="K55" t="s">
        <v>18</v>
      </c>
      <c r="L55">
        <v>200131</v>
      </c>
    </row>
    <row r="56" spans="1:12" x14ac:dyDescent="0.3">
      <c r="A56">
        <v>55</v>
      </c>
      <c r="B56" t="s">
        <v>163</v>
      </c>
      <c r="C56" t="s">
        <v>13</v>
      </c>
      <c r="D56" t="s">
        <v>39</v>
      </c>
      <c r="F56">
        <v>63830</v>
      </c>
      <c r="G56">
        <v>0</v>
      </c>
      <c r="H56" t="s">
        <v>93</v>
      </c>
      <c r="I56" t="s">
        <v>164</v>
      </c>
      <c r="J56" t="s">
        <v>165</v>
      </c>
      <c r="K56" t="s">
        <v>18</v>
      </c>
      <c r="L56">
        <v>60857</v>
      </c>
    </row>
    <row r="57" spans="1:12" x14ac:dyDescent="0.3">
      <c r="A57">
        <v>56</v>
      </c>
      <c r="B57" t="s">
        <v>12</v>
      </c>
      <c r="C57" t="s">
        <v>104</v>
      </c>
      <c r="D57" t="s">
        <v>39</v>
      </c>
      <c r="E57">
        <v>49</v>
      </c>
      <c r="F57">
        <v>-46071</v>
      </c>
      <c r="G57">
        <v>5</v>
      </c>
      <c r="H57" t="s">
        <v>15</v>
      </c>
      <c r="I57" t="s">
        <v>166</v>
      </c>
      <c r="J57" t="s">
        <v>167</v>
      </c>
      <c r="K57" t="s">
        <v>74</v>
      </c>
      <c r="L57">
        <v>495327</v>
      </c>
    </row>
    <row r="58" spans="1:12" x14ac:dyDescent="0.3">
      <c r="A58">
        <v>57</v>
      </c>
      <c r="B58" t="s">
        <v>102</v>
      </c>
      <c r="C58" t="s">
        <v>92</v>
      </c>
      <c r="D58" t="s">
        <v>82</v>
      </c>
      <c r="E58">
        <v>54</v>
      </c>
      <c r="F58">
        <v>43617</v>
      </c>
      <c r="G58">
        <v>15</v>
      </c>
      <c r="H58" t="s">
        <v>93</v>
      </c>
      <c r="I58" t="s">
        <v>168</v>
      </c>
      <c r="J58" t="s">
        <v>169</v>
      </c>
      <c r="K58" t="s">
        <v>18</v>
      </c>
      <c r="L58">
        <v>117679</v>
      </c>
    </row>
    <row r="59" spans="1:12" x14ac:dyDescent="0.3">
      <c r="A59">
        <v>58</v>
      </c>
      <c r="B59" t="s">
        <v>32</v>
      </c>
      <c r="C59" t="s">
        <v>26</v>
      </c>
      <c r="D59" t="s">
        <v>27</v>
      </c>
      <c r="E59">
        <v>27</v>
      </c>
      <c r="F59">
        <v>58405</v>
      </c>
      <c r="G59">
        <v>9</v>
      </c>
      <c r="H59" t="s">
        <v>34</v>
      </c>
      <c r="I59" t="s">
        <v>170</v>
      </c>
      <c r="J59" t="s">
        <v>171</v>
      </c>
      <c r="K59" t="s">
        <v>18</v>
      </c>
      <c r="L59">
        <v>263806</v>
      </c>
    </row>
    <row r="60" spans="1:12" x14ac:dyDescent="0.3">
      <c r="A60">
        <v>59</v>
      </c>
      <c r="B60" t="s">
        <v>32</v>
      </c>
      <c r="C60" t="s">
        <v>33</v>
      </c>
      <c r="D60" t="s">
        <v>14</v>
      </c>
      <c r="E60">
        <v>31</v>
      </c>
      <c r="F60">
        <v>42829</v>
      </c>
      <c r="G60">
        <v>6</v>
      </c>
      <c r="H60" t="s">
        <v>34</v>
      </c>
      <c r="I60" t="s">
        <v>172</v>
      </c>
      <c r="J60" t="s">
        <v>173</v>
      </c>
      <c r="K60" t="s">
        <v>31</v>
      </c>
      <c r="L60">
        <v>461145</v>
      </c>
    </row>
    <row r="61" spans="1:12" x14ac:dyDescent="0.3">
      <c r="A61">
        <v>1</v>
      </c>
      <c r="D61" t="s">
        <v>110</v>
      </c>
      <c r="E61">
        <v>25</v>
      </c>
      <c r="F61">
        <v>32975</v>
      </c>
      <c r="G61">
        <v>4</v>
      </c>
      <c r="H61" t="s">
        <v>56</v>
      </c>
      <c r="I61" t="s">
        <v>174</v>
      </c>
      <c r="J61" t="s">
        <v>175</v>
      </c>
      <c r="K61" t="s">
        <v>74</v>
      </c>
      <c r="L61">
        <v>-25987</v>
      </c>
    </row>
    <row r="62" spans="1:12" x14ac:dyDescent="0.3">
      <c r="A62">
        <v>61</v>
      </c>
      <c r="B62" t="s">
        <v>75</v>
      </c>
      <c r="C62" t="s">
        <v>92</v>
      </c>
      <c r="D62" t="s">
        <v>14</v>
      </c>
      <c r="E62">
        <v>38</v>
      </c>
      <c r="F62">
        <v>38321</v>
      </c>
      <c r="G62">
        <v>2</v>
      </c>
      <c r="H62" t="s">
        <v>56</v>
      </c>
      <c r="I62" t="s">
        <v>176</v>
      </c>
      <c r="J62" t="s">
        <v>177</v>
      </c>
      <c r="K62" t="s">
        <v>31</v>
      </c>
      <c r="L62">
        <v>237377</v>
      </c>
    </row>
    <row r="63" spans="1:12" x14ac:dyDescent="0.3">
      <c r="A63">
        <v>62</v>
      </c>
      <c r="B63" t="s">
        <v>19</v>
      </c>
      <c r="C63" t="s">
        <v>13</v>
      </c>
      <c r="D63" t="s">
        <v>27</v>
      </c>
      <c r="E63">
        <v>41</v>
      </c>
      <c r="F63">
        <v>69961</v>
      </c>
      <c r="G63">
        <v>7</v>
      </c>
      <c r="H63" t="s">
        <v>22</v>
      </c>
      <c r="I63" t="s">
        <v>178</v>
      </c>
      <c r="J63" t="s">
        <v>179</v>
      </c>
      <c r="K63" t="s">
        <v>31</v>
      </c>
      <c r="L63">
        <v>372462</v>
      </c>
    </row>
    <row r="64" spans="1:12" x14ac:dyDescent="0.3">
      <c r="A64">
        <v>63</v>
      </c>
      <c r="B64" t="s">
        <v>19</v>
      </c>
      <c r="C64" t="s">
        <v>85</v>
      </c>
      <c r="D64" t="s">
        <v>21</v>
      </c>
      <c r="E64">
        <v>35</v>
      </c>
      <c r="F64">
        <v>80771</v>
      </c>
      <c r="G64">
        <v>13</v>
      </c>
      <c r="H64" t="s">
        <v>22</v>
      </c>
      <c r="J64" t="s">
        <v>180</v>
      </c>
      <c r="K64" t="s">
        <v>18</v>
      </c>
      <c r="L64">
        <v>451316</v>
      </c>
    </row>
    <row r="65" spans="1:12" x14ac:dyDescent="0.3">
      <c r="A65">
        <v>64</v>
      </c>
      <c r="B65" t="s">
        <v>75</v>
      </c>
      <c r="C65" t="s">
        <v>92</v>
      </c>
      <c r="D65" t="s">
        <v>39</v>
      </c>
      <c r="E65">
        <v>41</v>
      </c>
      <c r="F65">
        <v>-40775</v>
      </c>
      <c r="G65">
        <v>4</v>
      </c>
      <c r="H65" t="s">
        <v>56</v>
      </c>
      <c r="I65" t="s">
        <v>181</v>
      </c>
      <c r="J65" t="s">
        <v>182</v>
      </c>
      <c r="K65" t="s">
        <v>37</v>
      </c>
      <c r="L65">
        <v>87557</v>
      </c>
    </row>
    <row r="66" spans="1:12" x14ac:dyDescent="0.3">
      <c r="A66">
        <v>65</v>
      </c>
      <c r="B66" t="s">
        <v>109</v>
      </c>
      <c r="C66" t="s">
        <v>92</v>
      </c>
      <c r="D66" t="s">
        <v>82</v>
      </c>
      <c r="E66">
        <v>22</v>
      </c>
      <c r="F66">
        <v>26614</v>
      </c>
      <c r="G66">
        <v>0</v>
      </c>
      <c r="H66" t="s">
        <v>22</v>
      </c>
      <c r="I66" t="s">
        <v>183</v>
      </c>
      <c r="J66" t="s">
        <v>184</v>
      </c>
      <c r="K66" t="s">
        <v>31</v>
      </c>
      <c r="L66">
        <v>143780</v>
      </c>
    </row>
    <row r="67" spans="1:12" x14ac:dyDescent="0.3">
      <c r="A67">
        <v>66</v>
      </c>
      <c r="B67" t="s">
        <v>19</v>
      </c>
      <c r="C67" t="s">
        <v>92</v>
      </c>
      <c r="D67" t="s">
        <v>78</v>
      </c>
      <c r="F67">
        <v>23172</v>
      </c>
      <c r="G67">
        <v>4</v>
      </c>
      <c r="H67" t="s">
        <v>22</v>
      </c>
      <c r="I67" t="s">
        <v>185</v>
      </c>
      <c r="J67" t="s">
        <v>186</v>
      </c>
      <c r="K67" t="s">
        <v>18</v>
      </c>
      <c r="L67">
        <v>482598</v>
      </c>
    </row>
    <row r="68" spans="1:12" x14ac:dyDescent="0.3">
      <c r="A68">
        <v>67</v>
      </c>
      <c r="B68" t="s">
        <v>50</v>
      </c>
      <c r="C68" t="s">
        <v>33</v>
      </c>
      <c r="D68" t="s">
        <v>14</v>
      </c>
      <c r="E68">
        <v>20</v>
      </c>
      <c r="F68">
        <v>33721</v>
      </c>
      <c r="G68">
        <v>0</v>
      </c>
      <c r="H68" t="s">
        <v>51</v>
      </c>
      <c r="I68" t="s">
        <v>187</v>
      </c>
      <c r="J68" t="s">
        <v>188</v>
      </c>
      <c r="K68" t="s">
        <v>31</v>
      </c>
      <c r="L68">
        <v>465611</v>
      </c>
    </row>
    <row r="69" spans="1:12" x14ac:dyDescent="0.3">
      <c r="A69">
        <v>68</v>
      </c>
      <c r="B69" t="s">
        <v>19</v>
      </c>
      <c r="C69" t="s">
        <v>33</v>
      </c>
      <c r="D69" t="s">
        <v>82</v>
      </c>
      <c r="E69">
        <v>32</v>
      </c>
      <c r="F69">
        <v>84322</v>
      </c>
      <c r="G69">
        <v>2</v>
      </c>
      <c r="H69" t="s">
        <v>22</v>
      </c>
      <c r="I69" t="s">
        <v>189</v>
      </c>
      <c r="J69" t="s">
        <v>190</v>
      </c>
      <c r="K69" t="s">
        <v>37</v>
      </c>
      <c r="L69">
        <v>488328</v>
      </c>
    </row>
    <row r="70" spans="1:12" x14ac:dyDescent="0.3">
      <c r="A70">
        <v>69</v>
      </c>
      <c r="B70" t="s">
        <v>50</v>
      </c>
      <c r="C70" t="s">
        <v>33</v>
      </c>
      <c r="D70" t="s">
        <v>27</v>
      </c>
      <c r="E70">
        <v>51</v>
      </c>
      <c r="F70">
        <v>84210</v>
      </c>
      <c r="G70">
        <v>4</v>
      </c>
      <c r="H70" t="s">
        <v>51</v>
      </c>
      <c r="I70" t="s">
        <v>191</v>
      </c>
      <c r="J70" t="s">
        <v>192</v>
      </c>
      <c r="K70" t="s">
        <v>18</v>
      </c>
      <c r="L70">
        <v>154126</v>
      </c>
    </row>
    <row r="71" spans="1:12" x14ac:dyDescent="0.3">
      <c r="A71">
        <v>16</v>
      </c>
      <c r="B71" t="s">
        <v>132</v>
      </c>
      <c r="C71" t="s">
        <v>122</v>
      </c>
      <c r="D71" t="s">
        <v>21</v>
      </c>
      <c r="E71">
        <v>51</v>
      </c>
      <c r="F71">
        <v>72895</v>
      </c>
      <c r="G71">
        <v>8</v>
      </c>
      <c r="H71" t="s">
        <v>51</v>
      </c>
      <c r="I71" t="s">
        <v>193</v>
      </c>
      <c r="J71" t="s">
        <v>194</v>
      </c>
      <c r="K71" t="s">
        <v>18</v>
      </c>
      <c r="L71">
        <v>-161493</v>
      </c>
    </row>
    <row r="72" spans="1:12" x14ac:dyDescent="0.3">
      <c r="A72">
        <v>71</v>
      </c>
      <c r="B72" t="s">
        <v>50</v>
      </c>
      <c r="C72" t="s">
        <v>13</v>
      </c>
      <c r="D72" t="s">
        <v>27</v>
      </c>
      <c r="E72">
        <v>21</v>
      </c>
      <c r="F72">
        <v>55723</v>
      </c>
      <c r="G72">
        <v>14</v>
      </c>
      <c r="H72" t="s">
        <v>51</v>
      </c>
      <c r="I72" t="s">
        <v>195</v>
      </c>
      <c r="J72" t="s">
        <v>196</v>
      </c>
      <c r="K72" t="s">
        <v>31</v>
      </c>
      <c r="L72">
        <v>430180</v>
      </c>
    </row>
    <row r="73" spans="1:12" x14ac:dyDescent="0.3">
      <c r="A73">
        <v>72</v>
      </c>
      <c r="C73" t="s">
        <v>13</v>
      </c>
      <c r="D73" t="s">
        <v>42</v>
      </c>
      <c r="E73">
        <v>46</v>
      </c>
      <c r="F73">
        <v>-47203</v>
      </c>
      <c r="G73">
        <v>5</v>
      </c>
      <c r="H73" t="s">
        <v>34</v>
      </c>
      <c r="J73" t="s">
        <v>197</v>
      </c>
      <c r="K73" t="s">
        <v>74</v>
      </c>
      <c r="L73">
        <v>407043</v>
      </c>
    </row>
    <row r="74" spans="1:12" x14ac:dyDescent="0.3">
      <c r="A74">
        <v>73</v>
      </c>
      <c r="B74" t="s">
        <v>45</v>
      </c>
      <c r="C74" t="s">
        <v>92</v>
      </c>
      <c r="D74" t="s">
        <v>27</v>
      </c>
      <c r="E74">
        <v>49</v>
      </c>
      <c r="F74">
        <v>72840</v>
      </c>
      <c r="G74">
        <v>12</v>
      </c>
      <c r="H74" t="s">
        <v>47</v>
      </c>
      <c r="I74" t="s">
        <v>198</v>
      </c>
      <c r="J74" t="s">
        <v>199</v>
      </c>
      <c r="K74" t="s">
        <v>18</v>
      </c>
      <c r="L74">
        <v>135888</v>
      </c>
    </row>
    <row r="75" spans="1:12" x14ac:dyDescent="0.3">
      <c r="A75">
        <v>74</v>
      </c>
      <c r="B75" t="s">
        <v>12</v>
      </c>
      <c r="C75" t="s">
        <v>13</v>
      </c>
      <c r="D75" t="s">
        <v>14</v>
      </c>
      <c r="E75">
        <v>41</v>
      </c>
      <c r="F75">
        <v>89377</v>
      </c>
      <c r="G75">
        <v>11</v>
      </c>
      <c r="H75" t="s">
        <v>15</v>
      </c>
      <c r="I75" t="s">
        <v>200</v>
      </c>
      <c r="J75" t="s">
        <v>201</v>
      </c>
      <c r="K75" t="s">
        <v>18</v>
      </c>
      <c r="L75">
        <v>238881</v>
      </c>
    </row>
    <row r="76" spans="1:12" x14ac:dyDescent="0.3">
      <c r="A76">
        <v>75</v>
      </c>
      <c r="B76" t="s">
        <v>38</v>
      </c>
      <c r="D76" t="s">
        <v>27</v>
      </c>
      <c r="E76">
        <v>40</v>
      </c>
      <c r="F76">
        <v>68517</v>
      </c>
      <c r="G76">
        <v>15</v>
      </c>
      <c r="H76" t="s">
        <v>28</v>
      </c>
      <c r="I76" t="s">
        <v>202</v>
      </c>
      <c r="J76" t="s">
        <v>203</v>
      </c>
      <c r="K76" t="s">
        <v>18</v>
      </c>
      <c r="L76">
        <v>287575</v>
      </c>
    </row>
    <row r="77" spans="1:12" x14ac:dyDescent="0.3">
      <c r="A77">
        <v>76</v>
      </c>
      <c r="B77" t="s">
        <v>25</v>
      </c>
      <c r="C77" t="s">
        <v>13</v>
      </c>
      <c r="D77" t="s">
        <v>21</v>
      </c>
      <c r="E77">
        <v>27</v>
      </c>
      <c r="F77">
        <v>36571</v>
      </c>
      <c r="G77">
        <v>7</v>
      </c>
      <c r="H77" t="s">
        <v>28</v>
      </c>
      <c r="I77" t="s">
        <v>204</v>
      </c>
      <c r="J77" t="s">
        <v>205</v>
      </c>
      <c r="K77" t="s">
        <v>74</v>
      </c>
      <c r="L77">
        <v>341089</v>
      </c>
    </row>
    <row r="78" spans="1:12" x14ac:dyDescent="0.3">
      <c r="A78">
        <v>77</v>
      </c>
      <c r="B78" t="s">
        <v>45</v>
      </c>
      <c r="C78" t="s">
        <v>104</v>
      </c>
      <c r="D78" t="s">
        <v>39</v>
      </c>
      <c r="F78">
        <v>35111</v>
      </c>
      <c r="G78">
        <v>1</v>
      </c>
      <c r="H78" t="s">
        <v>47</v>
      </c>
      <c r="I78" t="s">
        <v>206</v>
      </c>
      <c r="J78" t="s">
        <v>207</v>
      </c>
      <c r="K78" t="s">
        <v>31</v>
      </c>
      <c r="L78">
        <v>383715</v>
      </c>
    </row>
    <row r="79" spans="1:12" x14ac:dyDescent="0.3">
      <c r="A79">
        <v>78</v>
      </c>
      <c r="B79" t="s">
        <v>19</v>
      </c>
      <c r="C79" t="s">
        <v>92</v>
      </c>
      <c r="D79" t="s">
        <v>42</v>
      </c>
      <c r="E79">
        <v>24</v>
      </c>
      <c r="F79">
        <v>66339</v>
      </c>
      <c r="G79">
        <v>13</v>
      </c>
      <c r="H79" t="s">
        <v>22</v>
      </c>
      <c r="I79" t="s">
        <v>208</v>
      </c>
      <c r="J79" t="s">
        <v>209</v>
      </c>
      <c r="K79" t="s">
        <v>18</v>
      </c>
      <c r="L79">
        <v>102760</v>
      </c>
    </row>
    <row r="80" spans="1:12" x14ac:dyDescent="0.3">
      <c r="A80">
        <v>79</v>
      </c>
      <c r="B80" t="s">
        <v>119</v>
      </c>
      <c r="C80" t="s">
        <v>20</v>
      </c>
      <c r="D80" t="s">
        <v>21</v>
      </c>
      <c r="E80">
        <v>53</v>
      </c>
      <c r="F80">
        <v>62338</v>
      </c>
      <c r="G80">
        <v>5</v>
      </c>
      <c r="H80" t="s">
        <v>97</v>
      </c>
      <c r="I80" t="s">
        <v>210</v>
      </c>
      <c r="J80" t="s">
        <v>211</v>
      </c>
      <c r="K80" t="s">
        <v>18</v>
      </c>
      <c r="L80">
        <v>435412</v>
      </c>
    </row>
    <row r="81" spans="1:12" x14ac:dyDescent="0.3">
      <c r="A81">
        <v>20</v>
      </c>
      <c r="B81" t="s">
        <v>109</v>
      </c>
      <c r="C81" t="s">
        <v>20</v>
      </c>
      <c r="D81" t="s">
        <v>82</v>
      </c>
      <c r="E81">
        <v>47</v>
      </c>
      <c r="F81">
        <v>-84122</v>
      </c>
      <c r="G81">
        <v>6</v>
      </c>
      <c r="H81" t="s">
        <v>22</v>
      </c>
      <c r="I81" t="s">
        <v>212</v>
      </c>
      <c r="J81" t="s">
        <v>213</v>
      </c>
      <c r="K81" t="s">
        <v>37</v>
      </c>
      <c r="L81">
        <v>-345316</v>
      </c>
    </row>
    <row r="82" spans="1:12" x14ac:dyDescent="0.3">
      <c r="A82">
        <v>81</v>
      </c>
      <c r="B82" t="s">
        <v>12</v>
      </c>
      <c r="C82" t="s">
        <v>13</v>
      </c>
      <c r="D82" t="s">
        <v>82</v>
      </c>
      <c r="E82">
        <v>23</v>
      </c>
      <c r="F82">
        <v>72092</v>
      </c>
      <c r="G82">
        <v>5</v>
      </c>
      <c r="H82" t="s">
        <v>15</v>
      </c>
      <c r="J82" t="s">
        <v>214</v>
      </c>
      <c r="K82" t="s">
        <v>31</v>
      </c>
      <c r="L82">
        <v>81391</v>
      </c>
    </row>
    <row r="83" spans="1:12" x14ac:dyDescent="0.3">
      <c r="A83">
        <v>82</v>
      </c>
      <c r="B83" t="s">
        <v>102</v>
      </c>
      <c r="C83" t="s">
        <v>20</v>
      </c>
      <c r="D83" t="s">
        <v>39</v>
      </c>
      <c r="E83">
        <v>31</v>
      </c>
      <c r="F83">
        <v>40006</v>
      </c>
      <c r="G83">
        <v>7</v>
      </c>
      <c r="H83" t="s">
        <v>93</v>
      </c>
      <c r="I83" t="s">
        <v>215</v>
      </c>
      <c r="J83" t="s">
        <v>216</v>
      </c>
      <c r="K83" t="s">
        <v>18</v>
      </c>
      <c r="L83">
        <v>136347</v>
      </c>
    </row>
    <row r="84" spans="1:12" x14ac:dyDescent="0.3">
      <c r="A84">
        <v>83</v>
      </c>
      <c r="B84" t="s">
        <v>32</v>
      </c>
      <c r="C84" t="s">
        <v>33</v>
      </c>
      <c r="D84" t="s">
        <v>14</v>
      </c>
      <c r="E84">
        <v>22</v>
      </c>
      <c r="F84">
        <v>60097</v>
      </c>
      <c r="G84">
        <v>10</v>
      </c>
      <c r="H84" t="s">
        <v>34</v>
      </c>
      <c r="I84" t="s">
        <v>217</v>
      </c>
      <c r="J84" t="s">
        <v>218</v>
      </c>
      <c r="K84" t="s">
        <v>31</v>
      </c>
      <c r="L84">
        <v>441531</v>
      </c>
    </row>
    <row r="85" spans="1:12" x14ac:dyDescent="0.3">
      <c r="A85">
        <v>84</v>
      </c>
      <c r="C85" t="s">
        <v>104</v>
      </c>
      <c r="D85" t="s">
        <v>42</v>
      </c>
      <c r="E85">
        <v>25</v>
      </c>
      <c r="F85">
        <v>74713</v>
      </c>
      <c r="G85">
        <v>10</v>
      </c>
      <c r="H85" t="s">
        <v>97</v>
      </c>
      <c r="I85" t="s">
        <v>219</v>
      </c>
      <c r="J85" t="s">
        <v>220</v>
      </c>
      <c r="K85" t="s">
        <v>74</v>
      </c>
      <c r="L85">
        <v>421807</v>
      </c>
    </row>
    <row r="86" spans="1:12" x14ac:dyDescent="0.3">
      <c r="A86">
        <v>85</v>
      </c>
      <c r="B86" t="s">
        <v>96</v>
      </c>
      <c r="C86" t="s">
        <v>33</v>
      </c>
      <c r="D86" t="s">
        <v>27</v>
      </c>
      <c r="E86">
        <v>58</v>
      </c>
      <c r="F86">
        <v>20507</v>
      </c>
      <c r="G86">
        <v>15</v>
      </c>
      <c r="H86" t="s">
        <v>97</v>
      </c>
      <c r="I86" t="s">
        <v>221</v>
      </c>
      <c r="J86" t="s">
        <v>222</v>
      </c>
      <c r="K86" t="s">
        <v>31</v>
      </c>
      <c r="L86">
        <v>286125</v>
      </c>
    </row>
    <row r="87" spans="1:12" x14ac:dyDescent="0.3">
      <c r="A87">
        <v>86</v>
      </c>
      <c r="B87" t="s">
        <v>59</v>
      </c>
      <c r="C87" t="s">
        <v>13</v>
      </c>
      <c r="D87" t="s">
        <v>21</v>
      </c>
      <c r="E87">
        <v>57</v>
      </c>
      <c r="F87">
        <v>98253</v>
      </c>
      <c r="G87">
        <v>11</v>
      </c>
      <c r="H87" t="s">
        <v>60</v>
      </c>
      <c r="I87" t="s">
        <v>223</v>
      </c>
      <c r="J87" t="s">
        <v>224</v>
      </c>
      <c r="K87" t="s">
        <v>18</v>
      </c>
      <c r="L87">
        <v>299131</v>
      </c>
    </row>
    <row r="88" spans="1:12" x14ac:dyDescent="0.3">
      <c r="A88">
        <v>87</v>
      </c>
      <c r="B88" t="s">
        <v>45</v>
      </c>
      <c r="C88" t="s">
        <v>26</v>
      </c>
      <c r="D88" t="s">
        <v>39</v>
      </c>
      <c r="E88">
        <v>55</v>
      </c>
      <c r="F88">
        <v>43827</v>
      </c>
      <c r="G88">
        <v>12</v>
      </c>
      <c r="H88" t="s">
        <v>47</v>
      </c>
      <c r="I88" t="s">
        <v>225</v>
      </c>
      <c r="J88" t="s">
        <v>226</v>
      </c>
      <c r="K88" t="s">
        <v>31</v>
      </c>
      <c r="L88">
        <v>176572</v>
      </c>
    </row>
    <row r="89" spans="1:12" x14ac:dyDescent="0.3">
      <c r="A89">
        <v>88</v>
      </c>
      <c r="B89" t="s">
        <v>32</v>
      </c>
      <c r="C89" t="s">
        <v>33</v>
      </c>
      <c r="D89" t="s">
        <v>27</v>
      </c>
      <c r="F89">
        <v>-42703</v>
      </c>
      <c r="G89">
        <v>12</v>
      </c>
      <c r="H89" t="s">
        <v>34</v>
      </c>
      <c r="I89" t="s">
        <v>227</v>
      </c>
      <c r="J89" t="s">
        <v>228</v>
      </c>
      <c r="K89" t="s">
        <v>37</v>
      </c>
      <c r="L89">
        <v>416907</v>
      </c>
    </row>
    <row r="90" spans="1:12" x14ac:dyDescent="0.3">
      <c r="A90">
        <v>89</v>
      </c>
      <c r="B90" t="s">
        <v>50</v>
      </c>
      <c r="C90" t="s">
        <v>13</v>
      </c>
      <c r="D90" t="s">
        <v>21</v>
      </c>
      <c r="E90">
        <v>47</v>
      </c>
      <c r="F90">
        <v>96712</v>
      </c>
      <c r="G90">
        <v>15</v>
      </c>
      <c r="H90" t="s">
        <v>51</v>
      </c>
      <c r="I90" t="s">
        <v>229</v>
      </c>
      <c r="J90" t="s">
        <v>230</v>
      </c>
      <c r="K90" t="s">
        <v>18</v>
      </c>
      <c r="L90">
        <v>474021</v>
      </c>
    </row>
    <row r="91" spans="1:12" x14ac:dyDescent="0.3">
      <c r="A91">
        <v>19</v>
      </c>
      <c r="B91" t="s">
        <v>55</v>
      </c>
      <c r="D91" t="s">
        <v>42</v>
      </c>
      <c r="E91">
        <v>40</v>
      </c>
      <c r="F91">
        <v>83340</v>
      </c>
      <c r="G91">
        <v>8</v>
      </c>
      <c r="H91" t="s">
        <v>56</v>
      </c>
      <c r="J91" t="s">
        <v>231</v>
      </c>
      <c r="K91" t="s">
        <v>31</v>
      </c>
      <c r="L91">
        <v>-189400</v>
      </c>
    </row>
    <row r="92" spans="1:12" x14ac:dyDescent="0.3">
      <c r="A92">
        <v>91</v>
      </c>
      <c r="B92" t="s">
        <v>19</v>
      </c>
      <c r="C92" t="s">
        <v>85</v>
      </c>
      <c r="D92" t="s">
        <v>39</v>
      </c>
      <c r="E92">
        <v>22</v>
      </c>
      <c r="F92">
        <v>90891</v>
      </c>
      <c r="G92">
        <v>7</v>
      </c>
      <c r="H92" t="s">
        <v>22</v>
      </c>
      <c r="I92" t="s">
        <v>232</v>
      </c>
      <c r="J92" t="s">
        <v>233</v>
      </c>
      <c r="K92" t="s">
        <v>31</v>
      </c>
      <c r="L92">
        <v>43666</v>
      </c>
    </row>
    <row r="93" spans="1:12" x14ac:dyDescent="0.3">
      <c r="A93">
        <v>92</v>
      </c>
      <c r="B93" t="s">
        <v>12</v>
      </c>
      <c r="C93" t="s">
        <v>13</v>
      </c>
      <c r="D93" t="s">
        <v>21</v>
      </c>
      <c r="E93">
        <v>58</v>
      </c>
      <c r="F93">
        <v>55816</v>
      </c>
      <c r="G93">
        <v>12</v>
      </c>
      <c r="H93" t="s">
        <v>15</v>
      </c>
      <c r="I93" t="s">
        <v>234</v>
      </c>
      <c r="J93" t="s">
        <v>235</v>
      </c>
      <c r="K93" t="s">
        <v>37</v>
      </c>
      <c r="L93">
        <v>158891</v>
      </c>
    </row>
    <row r="94" spans="1:12" x14ac:dyDescent="0.3">
      <c r="A94">
        <v>93</v>
      </c>
      <c r="B94" t="s">
        <v>19</v>
      </c>
      <c r="C94" t="s">
        <v>92</v>
      </c>
      <c r="D94" t="s">
        <v>39</v>
      </c>
      <c r="E94">
        <v>43</v>
      </c>
      <c r="F94">
        <v>51684</v>
      </c>
      <c r="G94">
        <v>11</v>
      </c>
      <c r="H94" t="s">
        <v>22</v>
      </c>
      <c r="I94" t="s">
        <v>236</v>
      </c>
      <c r="J94" t="s">
        <v>237</v>
      </c>
      <c r="K94" t="s">
        <v>31</v>
      </c>
      <c r="L94">
        <v>362887</v>
      </c>
    </row>
    <row r="95" spans="1:12" x14ac:dyDescent="0.3">
      <c r="A95">
        <v>94</v>
      </c>
      <c r="B95" t="s">
        <v>19</v>
      </c>
      <c r="C95" t="s">
        <v>33</v>
      </c>
      <c r="D95" t="s">
        <v>82</v>
      </c>
      <c r="E95">
        <v>31</v>
      </c>
      <c r="F95">
        <v>27018</v>
      </c>
      <c r="G95">
        <v>7</v>
      </c>
      <c r="H95" t="s">
        <v>22</v>
      </c>
      <c r="I95" t="s">
        <v>238</v>
      </c>
      <c r="J95" t="s">
        <v>239</v>
      </c>
      <c r="K95" t="s">
        <v>31</v>
      </c>
      <c r="L95">
        <v>154990</v>
      </c>
    </row>
    <row r="96" spans="1:12" x14ac:dyDescent="0.3">
      <c r="A96">
        <v>95</v>
      </c>
      <c r="B96" t="s">
        <v>109</v>
      </c>
      <c r="C96" t="s">
        <v>26</v>
      </c>
      <c r="D96" t="s">
        <v>39</v>
      </c>
      <c r="E96">
        <v>24</v>
      </c>
      <c r="F96">
        <v>65376</v>
      </c>
      <c r="G96">
        <v>5</v>
      </c>
      <c r="H96" t="s">
        <v>22</v>
      </c>
      <c r="I96" t="s">
        <v>240</v>
      </c>
      <c r="J96" t="s">
        <v>241</v>
      </c>
      <c r="K96" t="s">
        <v>31</v>
      </c>
      <c r="L96">
        <v>403306</v>
      </c>
    </row>
    <row r="97" spans="1:12" x14ac:dyDescent="0.3">
      <c r="A97">
        <v>96</v>
      </c>
      <c r="C97" t="s">
        <v>13</v>
      </c>
      <c r="D97" t="s">
        <v>42</v>
      </c>
      <c r="E97">
        <v>55</v>
      </c>
      <c r="F97">
        <v>-82860</v>
      </c>
      <c r="G97">
        <v>0</v>
      </c>
      <c r="H97" t="s">
        <v>22</v>
      </c>
      <c r="I97" t="s">
        <v>242</v>
      </c>
      <c r="J97" t="s">
        <v>243</v>
      </c>
      <c r="K97" t="s">
        <v>74</v>
      </c>
      <c r="L97">
        <v>24926</v>
      </c>
    </row>
    <row r="98" spans="1:12" x14ac:dyDescent="0.3">
      <c r="A98">
        <v>97</v>
      </c>
      <c r="B98" t="s">
        <v>45</v>
      </c>
      <c r="C98" t="s">
        <v>33</v>
      </c>
      <c r="D98" t="s">
        <v>82</v>
      </c>
      <c r="E98">
        <v>52</v>
      </c>
      <c r="F98">
        <v>21260</v>
      </c>
      <c r="G98">
        <v>15</v>
      </c>
      <c r="H98" t="s">
        <v>47</v>
      </c>
      <c r="I98" t="s">
        <v>244</v>
      </c>
      <c r="J98" t="s">
        <v>245</v>
      </c>
      <c r="K98" t="s">
        <v>18</v>
      </c>
      <c r="L98">
        <v>130492</v>
      </c>
    </row>
    <row r="99" spans="1:12" x14ac:dyDescent="0.3">
      <c r="A99">
        <v>98</v>
      </c>
      <c r="B99" t="s">
        <v>102</v>
      </c>
      <c r="C99" t="s">
        <v>104</v>
      </c>
      <c r="D99" t="s">
        <v>14</v>
      </c>
      <c r="E99">
        <v>44</v>
      </c>
      <c r="F99">
        <v>83362</v>
      </c>
      <c r="G99">
        <v>12</v>
      </c>
      <c r="H99" t="s">
        <v>93</v>
      </c>
      <c r="I99" t="s">
        <v>246</v>
      </c>
      <c r="J99" t="s">
        <v>247</v>
      </c>
      <c r="K99" t="s">
        <v>18</v>
      </c>
      <c r="L99">
        <v>23089</v>
      </c>
    </row>
    <row r="100" spans="1:12" x14ac:dyDescent="0.3">
      <c r="A100">
        <v>99</v>
      </c>
      <c r="B100" t="s">
        <v>45</v>
      </c>
      <c r="C100" t="s">
        <v>92</v>
      </c>
      <c r="D100" t="s">
        <v>21</v>
      </c>
      <c r="F100">
        <v>27119</v>
      </c>
      <c r="G100">
        <v>12</v>
      </c>
      <c r="H100" t="s">
        <v>47</v>
      </c>
      <c r="J100" t="s">
        <v>248</v>
      </c>
      <c r="K100" t="s">
        <v>31</v>
      </c>
      <c r="L100">
        <v>209435</v>
      </c>
    </row>
    <row r="101" spans="1:12" x14ac:dyDescent="0.3">
      <c r="A101">
        <v>14</v>
      </c>
      <c r="B101" t="s">
        <v>55</v>
      </c>
      <c r="C101" t="s">
        <v>92</v>
      </c>
      <c r="D101" t="s">
        <v>39</v>
      </c>
      <c r="E101">
        <v>28</v>
      </c>
      <c r="F101">
        <v>56991</v>
      </c>
      <c r="G101">
        <v>8</v>
      </c>
      <c r="H101" t="s">
        <v>56</v>
      </c>
      <c r="I101" t="s">
        <v>249</v>
      </c>
      <c r="J101" t="s">
        <v>250</v>
      </c>
      <c r="K101" t="s">
        <v>37</v>
      </c>
      <c r="L101">
        <v>-11291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>
      <selection activeCell="O24" sqref="O10:Q24"/>
    </sheetView>
  </sheetViews>
  <sheetFormatPr defaultRowHeight="14.4" x14ac:dyDescent="0.3"/>
  <sheetData>
    <row r="1" spans="1:2" x14ac:dyDescent="0.3">
      <c r="A1" t="s">
        <v>251</v>
      </c>
    </row>
    <row r="2" spans="1:2" x14ac:dyDescent="0.3">
      <c r="A2" t="s">
        <v>252</v>
      </c>
    </row>
    <row r="3" spans="1:2" x14ac:dyDescent="0.3">
      <c r="A3" t="s">
        <v>253</v>
      </c>
    </row>
    <row r="4" spans="1:2" x14ac:dyDescent="0.3">
      <c r="A4" t="s">
        <v>254</v>
      </c>
    </row>
    <row r="5" spans="1:2" x14ac:dyDescent="0.3">
      <c r="A5" t="s">
        <v>313</v>
      </c>
    </row>
    <row r="6" spans="1:2" x14ac:dyDescent="0.3">
      <c r="A6" t="s">
        <v>255</v>
      </c>
    </row>
    <row r="7" spans="1:2" x14ac:dyDescent="0.3">
      <c r="A7" t="s">
        <v>256</v>
      </c>
    </row>
    <row r="8" spans="1:2" x14ac:dyDescent="0.3">
      <c r="A8" t="s">
        <v>274</v>
      </c>
    </row>
    <row r="9" spans="1:2" x14ac:dyDescent="0.3">
      <c r="A9" t="s">
        <v>272</v>
      </c>
    </row>
    <row r="10" spans="1:2" x14ac:dyDescent="0.3">
      <c r="A10" t="s">
        <v>288</v>
      </c>
    </row>
    <row r="11" spans="1:2" x14ac:dyDescent="0.3">
      <c r="A11" t="s">
        <v>289</v>
      </c>
    </row>
    <row r="12" spans="1:2" x14ac:dyDescent="0.3">
      <c r="A12" t="s">
        <v>290</v>
      </c>
    </row>
    <row r="13" spans="1:2" x14ac:dyDescent="0.3">
      <c r="A13" t="s">
        <v>291</v>
      </c>
    </row>
    <row r="14" spans="1:2" x14ac:dyDescent="0.3">
      <c r="A14" t="s">
        <v>292</v>
      </c>
    </row>
    <row r="15" spans="1:2" x14ac:dyDescent="0.3">
      <c r="A15" t="s">
        <v>293</v>
      </c>
    </row>
    <row r="16" spans="1:2" x14ac:dyDescent="0.3">
      <c r="A16" t="s">
        <v>280</v>
      </c>
      <c r="B16" t="s">
        <v>279</v>
      </c>
    </row>
    <row r="17" spans="1:2" x14ac:dyDescent="0.3">
      <c r="A17" t="s">
        <v>285</v>
      </c>
      <c r="B17" t="s">
        <v>282</v>
      </c>
    </row>
    <row r="18" spans="1:2" x14ac:dyDescent="0.3">
      <c r="A18" t="s">
        <v>286</v>
      </c>
      <c r="B18" t="s">
        <v>283</v>
      </c>
    </row>
    <row r="19" spans="1:2" x14ac:dyDescent="0.3">
      <c r="A19" t="s">
        <v>287</v>
      </c>
      <c r="B19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0D1C-BB60-4F77-8A54-C6426EF7E889}">
  <sheetPr filterMode="1"/>
  <dimension ref="A1:AA136"/>
  <sheetViews>
    <sheetView topLeftCell="P1" zoomScale="63" zoomScaleNormal="70" workbookViewId="0">
      <selection activeCell="Y74" sqref="Y74"/>
    </sheetView>
  </sheetViews>
  <sheetFormatPr defaultRowHeight="14.4" x14ac:dyDescent="0.3"/>
  <cols>
    <col min="1" max="2" width="15.88671875" customWidth="1"/>
    <col min="3" max="3" width="17.21875" customWidth="1"/>
    <col min="4" max="4" width="15.88671875" customWidth="1"/>
    <col min="5" max="5" width="18.5546875" customWidth="1"/>
    <col min="6" max="6" width="15.88671875" customWidth="1"/>
    <col min="7" max="7" width="23.109375" style="6" customWidth="1"/>
    <col min="8" max="9" width="23.6640625" customWidth="1"/>
    <col min="10" max="12" width="20.109375" customWidth="1"/>
    <col min="13" max="13" width="15.88671875" style="11" customWidth="1"/>
    <col min="14" max="14" width="22.109375" style="2" customWidth="1"/>
    <col min="15" max="15" width="18.44140625" customWidth="1"/>
    <col min="16" max="16" width="23.5546875" customWidth="1"/>
    <col min="18" max="18" width="8.88671875" customWidth="1"/>
    <col min="21" max="21" width="13.6640625" customWidth="1"/>
    <col min="22" max="22" width="14.21875" customWidth="1"/>
    <col min="23" max="23" width="18.88671875" customWidth="1"/>
    <col min="24" max="26" width="13.6640625" customWidth="1"/>
    <col min="27" max="27" width="18.109375" customWidth="1"/>
  </cols>
  <sheetData>
    <row r="1" spans="1:27" ht="15.6" x14ac:dyDescent="0.3">
      <c r="A1" s="3" t="s">
        <v>0</v>
      </c>
      <c r="B1" s="3" t="s">
        <v>306</v>
      </c>
      <c r="C1" s="3" t="s">
        <v>259</v>
      </c>
      <c r="D1" s="3" t="s">
        <v>258</v>
      </c>
      <c r="E1" s="3" t="s">
        <v>266</v>
      </c>
      <c r="F1" s="3" t="s">
        <v>4</v>
      </c>
      <c r="G1" s="5" t="s">
        <v>257</v>
      </c>
      <c r="H1" s="3" t="s">
        <v>6</v>
      </c>
      <c r="I1" s="3" t="s">
        <v>279</v>
      </c>
      <c r="J1" s="3" t="s">
        <v>7</v>
      </c>
      <c r="K1" s="3" t="s">
        <v>270</v>
      </c>
      <c r="L1" s="3" t="s">
        <v>271</v>
      </c>
      <c r="M1" s="10" t="s">
        <v>8</v>
      </c>
      <c r="N1" s="4" t="s">
        <v>9</v>
      </c>
      <c r="O1" s="9" t="s">
        <v>305</v>
      </c>
      <c r="P1" s="8" t="s">
        <v>267</v>
      </c>
      <c r="U1" s="3" t="s">
        <v>273</v>
      </c>
      <c r="V1" t="s">
        <v>14</v>
      </c>
      <c r="W1" t="s">
        <v>27</v>
      </c>
      <c r="X1" t="s">
        <v>21</v>
      </c>
      <c r="Y1" t="s">
        <v>39</v>
      </c>
      <c r="Z1" t="s">
        <v>82</v>
      </c>
    </row>
    <row r="2" spans="1:27" x14ac:dyDescent="0.3">
      <c r="A2">
        <v>1</v>
      </c>
      <c r="B2">
        <v>1</v>
      </c>
      <c r="C2" t="s">
        <v>12</v>
      </c>
      <c r="D2" t="s">
        <v>13</v>
      </c>
      <c r="E2" t="s">
        <v>14</v>
      </c>
      <c r="F2">
        <v>48</v>
      </c>
      <c r="G2" s="6">
        <v>64609</v>
      </c>
      <c r="H2">
        <v>1</v>
      </c>
      <c r="I2" t="str" cm="1">
        <f t="array" ref="I2">_xlfn.IFS(H2&gt;=9,"Grade A", H2&gt;=5, "Grade B",H2&lt;=4, "Grade C")</f>
        <v>Grade C</v>
      </c>
      <c r="J2" s="12" t="s">
        <v>15</v>
      </c>
      <c r="K2" t="str">
        <f>LEFT(J2,FIND("@",J2,1)-1)</f>
        <v>neha</v>
      </c>
      <c r="L2" t="str">
        <f>RIGHT(J2,LEN(J2)-FIND("@",J2,1))</f>
        <v>company.com</v>
      </c>
      <c r="M2" s="11" t="s">
        <v>16</v>
      </c>
      <c r="N2" s="2" t="s">
        <v>17</v>
      </c>
      <c r="O2" t="s">
        <v>18</v>
      </c>
      <c r="P2">
        <v>177930</v>
      </c>
      <c r="U2" t="s">
        <v>13</v>
      </c>
      <c r="V2">
        <f t="shared" ref="V2:Z7" si="0">COUNTIFS($D:$D,$U2,$E:$E,V$1)</f>
        <v>5</v>
      </c>
      <c r="W2">
        <f t="shared" si="0"/>
        <v>4</v>
      </c>
      <c r="X2">
        <f t="shared" si="0"/>
        <v>7</v>
      </c>
      <c r="Y2">
        <f t="shared" si="0"/>
        <v>2</v>
      </c>
      <c r="Z2">
        <f t="shared" si="0"/>
        <v>3</v>
      </c>
    </row>
    <row r="3" spans="1:27" ht="18" x14ac:dyDescent="0.35">
      <c r="A3">
        <v>1</v>
      </c>
      <c r="B3">
        <v>2</v>
      </c>
      <c r="C3" t="s">
        <v>269</v>
      </c>
      <c r="D3" t="s">
        <v>268</v>
      </c>
      <c r="E3" t="s">
        <v>27</v>
      </c>
      <c r="F3">
        <v>25</v>
      </c>
      <c r="G3" s="6">
        <v>32975</v>
      </c>
      <c r="H3">
        <v>4</v>
      </c>
      <c r="I3" t="str" cm="1">
        <f t="array" ref="I3">_xlfn.IFS(H3&gt;=9,"Grade A", H3&gt;=5, "Grade B",H3&lt;=4, "Grade C")</f>
        <v>Grade C</v>
      </c>
      <c r="J3" s="12" t="s">
        <v>56</v>
      </c>
      <c r="K3" t="str">
        <f t="shared" ref="K3:K66" si="1">LEFT(J3,FIND("@",J3,1)-1)</f>
        <v>amit</v>
      </c>
      <c r="L3" t="str">
        <f t="shared" ref="L3:L66" si="2">RIGHT(J3,LEN(J3)-FIND("@",J3,1))</f>
        <v>company.com</v>
      </c>
      <c r="M3" s="11" t="s">
        <v>174</v>
      </c>
      <c r="N3" s="2" t="s">
        <v>175</v>
      </c>
      <c r="O3" t="s">
        <v>31</v>
      </c>
      <c r="P3">
        <v>0</v>
      </c>
      <c r="Q3" s="16" t="s">
        <v>13</v>
      </c>
      <c r="U3" t="s">
        <v>268</v>
      </c>
      <c r="V3">
        <f t="shared" si="0"/>
        <v>0</v>
      </c>
      <c r="W3">
        <f t="shared" si="0"/>
        <v>4</v>
      </c>
      <c r="X3">
        <f t="shared" si="0"/>
        <v>1</v>
      </c>
      <c r="Y3">
        <f t="shared" si="0"/>
        <v>0</v>
      </c>
      <c r="Z3">
        <f t="shared" si="0"/>
        <v>1</v>
      </c>
    </row>
    <row r="4" spans="1:27" x14ac:dyDescent="0.3">
      <c r="A4">
        <v>2</v>
      </c>
      <c r="B4">
        <v>3</v>
      </c>
      <c r="C4" t="s">
        <v>19</v>
      </c>
      <c r="D4" t="s">
        <v>20</v>
      </c>
      <c r="E4" t="s">
        <v>21</v>
      </c>
      <c r="F4">
        <v>32</v>
      </c>
      <c r="G4" s="6">
        <v>91565</v>
      </c>
      <c r="H4">
        <v>0</v>
      </c>
      <c r="I4" t="str" cm="1">
        <f t="array" ref="I4">_xlfn.IFS(H4&gt;=9,"Grade A", H4&gt;=5, "Grade B",H4&lt;=4, "Grade C")</f>
        <v>Grade C</v>
      </c>
      <c r="J4" t="s">
        <v>22</v>
      </c>
      <c r="K4" t="str">
        <f t="shared" si="1"/>
        <v>rohit</v>
      </c>
      <c r="L4" t="str">
        <f t="shared" si="2"/>
        <v>company.com</v>
      </c>
      <c r="M4" s="11" t="s">
        <v>23</v>
      </c>
      <c r="N4" s="2" t="s">
        <v>24</v>
      </c>
      <c r="O4" t="s">
        <v>18</v>
      </c>
      <c r="P4">
        <v>277805</v>
      </c>
      <c r="U4" t="s">
        <v>20</v>
      </c>
      <c r="V4">
        <f t="shared" si="0"/>
        <v>2</v>
      </c>
      <c r="W4">
        <f t="shared" si="0"/>
        <v>2</v>
      </c>
      <c r="X4">
        <f t="shared" si="0"/>
        <v>3</v>
      </c>
      <c r="Y4">
        <f t="shared" si="0"/>
        <v>6</v>
      </c>
      <c r="Z4">
        <f t="shared" si="0"/>
        <v>4</v>
      </c>
    </row>
    <row r="5" spans="1:27" x14ac:dyDescent="0.3">
      <c r="A5">
        <v>3</v>
      </c>
      <c r="B5">
        <v>4</v>
      </c>
      <c r="C5" t="s">
        <v>25</v>
      </c>
      <c r="D5" t="s">
        <v>26</v>
      </c>
      <c r="E5" t="s">
        <v>27</v>
      </c>
      <c r="F5">
        <v>31</v>
      </c>
      <c r="G5" s="6">
        <v>33644</v>
      </c>
      <c r="H5">
        <v>1</v>
      </c>
      <c r="I5" t="str" cm="1">
        <f t="array" ref="I5">_xlfn.IFS(H5&gt;=9,"Grade A", H5&gt;=5, "Grade B",H5&lt;=4, "Grade C")</f>
        <v>Grade C</v>
      </c>
      <c r="J5" t="s">
        <v>28</v>
      </c>
      <c r="K5" t="str">
        <f t="shared" si="1"/>
        <v>rahul</v>
      </c>
      <c r="L5" t="str">
        <f t="shared" si="2"/>
        <v>company.com</v>
      </c>
      <c r="M5" s="11" t="s">
        <v>29</v>
      </c>
      <c r="N5" s="2" t="s">
        <v>30</v>
      </c>
      <c r="O5" t="s">
        <v>31</v>
      </c>
      <c r="P5">
        <v>499167</v>
      </c>
      <c r="U5" t="s">
        <v>26</v>
      </c>
      <c r="V5">
        <f t="shared" si="0"/>
        <v>1</v>
      </c>
      <c r="W5">
        <f t="shared" si="0"/>
        <v>2</v>
      </c>
      <c r="X5">
        <f t="shared" si="0"/>
        <v>3</v>
      </c>
      <c r="Y5">
        <f t="shared" si="0"/>
        <v>5</v>
      </c>
      <c r="Z5">
        <f t="shared" si="0"/>
        <v>3</v>
      </c>
    </row>
    <row r="6" spans="1:27" x14ac:dyDescent="0.3">
      <c r="A6">
        <v>4</v>
      </c>
      <c r="B6">
        <v>5</v>
      </c>
      <c r="C6" t="s">
        <v>32</v>
      </c>
      <c r="D6" t="s">
        <v>33</v>
      </c>
      <c r="E6" t="s">
        <v>21</v>
      </c>
      <c r="F6">
        <v>44</v>
      </c>
      <c r="G6" s="6">
        <v>95843</v>
      </c>
      <c r="H6">
        <v>0</v>
      </c>
      <c r="I6" t="str" cm="1">
        <f t="array" ref="I6">_xlfn.IFS(H6&gt;=9,"Grade A", H6&gt;=5, "Grade B",H6&lt;=4, "Grade C")</f>
        <v>Grade C</v>
      </c>
      <c r="J6" t="s">
        <v>34</v>
      </c>
      <c r="K6" t="str">
        <f t="shared" si="1"/>
        <v>karan</v>
      </c>
      <c r="L6" t="str">
        <f t="shared" si="2"/>
        <v>company.com</v>
      </c>
      <c r="M6" s="11" t="s">
        <v>35</v>
      </c>
      <c r="N6" s="2" t="s">
        <v>36</v>
      </c>
      <c r="O6" t="s">
        <v>18</v>
      </c>
      <c r="P6">
        <v>233260</v>
      </c>
      <c r="U6" t="s">
        <v>33</v>
      </c>
      <c r="V6">
        <f t="shared" si="0"/>
        <v>6</v>
      </c>
      <c r="W6">
        <f t="shared" si="0"/>
        <v>4</v>
      </c>
      <c r="X6">
        <f t="shared" si="0"/>
        <v>4</v>
      </c>
      <c r="Y6">
        <f t="shared" si="0"/>
        <v>1</v>
      </c>
      <c r="Z6">
        <f t="shared" si="0"/>
        <v>3</v>
      </c>
    </row>
    <row r="7" spans="1:27" x14ac:dyDescent="0.3">
      <c r="A7">
        <v>5</v>
      </c>
      <c r="B7">
        <v>6</v>
      </c>
      <c r="C7" t="s">
        <v>260</v>
      </c>
      <c r="D7" t="s">
        <v>33</v>
      </c>
      <c r="E7" t="s">
        <v>39</v>
      </c>
      <c r="F7">
        <v>24</v>
      </c>
      <c r="G7" s="6">
        <v>86795</v>
      </c>
      <c r="H7">
        <v>9</v>
      </c>
      <c r="I7" t="str" cm="1">
        <f t="array" ref="I7">_xlfn.IFS(H7&gt;=9,"Grade A", H7&gt;=5, "Grade B",H7&lt;=4, "Grade C")</f>
        <v>Grade A</v>
      </c>
      <c r="J7" t="s">
        <v>28</v>
      </c>
      <c r="K7" t="str">
        <f t="shared" si="1"/>
        <v>rahul</v>
      </c>
      <c r="L7" t="str">
        <f t="shared" si="2"/>
        <v>company.com</v>
      </c>
      <c r="M7" s="11" t="s">
        <v>40</v>
      </c>
      <c r="N7" s="2" t="s">
        <v>41</v>
      </c>
      <c r="O7" t="s">
        <v>18</v>
      </c>
      <c r="P7">
        <v>15864</v>
      </c>
      <c r="U7" t="s">
        <v>92</v>
      </c>
      <c r="V7">
        <f t="shared" si="0"/>
        <v>5</v>
      </c>
      <c r="W7">
        <f t="shared" si="0"/>
        <v>2</v>
      </c>
      <c r="X7">
        <f t="shared" si="0"/>
        <v>4</v>
      </c>
      <c r="Y7">
        <f t="shared" si="0"/>
        <v>8</v>
      </c>
      <c r="Z7">
        <f t="shared" si="0"/>
        <v>5</v>
      </c>
    </row>
    <row r="8" spans="1:27" x14ac:dyDescent="0.3">
      <c r="A8">
        <v>5</v>
      </c>
      <c r="B8">
        <v>7</v>
      </c>
      <c r="C8" t="s">
        <v>261</v>
      </c>
      <c r="D8" t="s">
        <v>268</v>
      </c>
      <c r="E8" t="s">
        <v>27</v>
      </c>
      <c r="F8">
        <v>57</v>
      </c>
      <c r="G8" s="6">
        <v>30041</v>
      </c>
      <c r="H8">
        <v>2</v>
      </c>
      <c r="I8" t="str" cm="1">
        <f t="array" ref="I8">_xlfn.IFS(H8&gt;=9,"Grade A", H8&gt;=5, "Grade B",H8&lt;=4, "Grade C")</f>
        <v>Grade C</v>
      </c>
      <c r="J8" t="s">
        <v>22</v>
      </c>
      <c r="K8" t="str">
        <f t="shared" si="1"/>
        <v>rohit</v>
      </c>
      <c r="L8" t="str">
        <f t="shared" si="2"/>
        <v>company.com</v>
      </c>
      <c r="M8" s="11" t="s">
        <v>111</v>
      </c>
      <c r="N8" s="2" t="s">
        <v>112</v>
      </c>
      <c r="O8" t="s">
        <v>18</v>
      </c>
      <c r="P8">
        <v>0</v>
      </c>
    </row>
    <row r="9" spans="1:27" x14ac:dyDescent="0.3">
      <c r="A9">
        <v>6</v>
      </c>
      <c r="B9">
        <v>8</v>
      </c>
      <c r="C9" t="s">
        <v>12</v>
      </c>
      <c r="D9" t="s">
        <v>20</v>
      </c>
      <c r="E9" t="s">
        <v>82</v>
      </c>
      <c r="F9">
        <v>38</v>
      </c>
      <c r="G9" s="6">
        <v>99095</v>
      </c>
      <c r="H9">
        <v>7</v>
      </c>
      <c r="I9" t="str" cm="1">
        <f t="array" ref="I9">_xlfn.IFS(H9&gt;=9,"Grade A", H9&gt;=5, "Grade B",H9&lt;=4, "Grade C")</f>
        <v>Grade B</v>
      </c>
      <c r="J9" t="s">
        <v>15</v>
      </c>
      <c r="K9" t="str">
        <f t="shared" si="1"/>
        <v>neha</v>
      </c>
      <c r="L9" t="str">
        <f t="shared" si="2"/>
        <v>company.com</v>
      </c>
      <c r="M9" s="11" t="s">
        <v>43</v>
      </c>
      <c r="N9" s="2" t="s">
        <v>44</v>
      </c>
      <c r="O9" t="s">
        <v>31</v>
      </c>
      <c r="P9">
        <v>146472</v>
      </c>
    </row>
    <row r="10" spans="1:27" x14ac:dyDescent="0.3">
      <c r="A10">
        <v>7</v>
      </c>
      <c r="B10">
        <v>9</v>
      </c>
      <c r="C10" t="s">
        <v>45</v>
      </c>
      <c r="D10" t="s">
        <v>13</v>
      </c>
      <c r="E10" t="s">
        <v>21</v>
      </c>
      <c r="F10">
        <v>48</v>
      </c>
      <c r="G10" s="6">
        <v>51306</v>
      </c>
      <c r="H10">
        <v>4</v>
      </c>
      <c r="I10" t="str" cm="1">
        <f t="array" ref="I10">_xlfn.IFS(H10&gt;=9,"Grade A", H10&gt;=5, "Grade B",H10&lt;=4, "Grade C")</f>
        <v>Grade C</v>
      </c>
      <c r="J10" t="s">
        <v>47</v>
      </c>
      <c r="K10" t="str">
        <f t="shared" si="1"/>
        <v>vikram</v>
      </c>
      <c r="L10" t="str">
        <f t="shared" si="2"/>
        <v>company.com</v>
      </c>
      <c r="M10" s="11" t="s">
        <v>48</v>
      </c>
      <c r="N10" s="2" t="s">
        <v>49</v>
      </c>
      <c r="O10" t="s">
        <v>31</v>
      </c>
      <c r="P10">
        <v>390868</v>
      </c>
    </row>
    <row r="11" spans="1:27" x14ac:dyDescent="0.3">
      <c r="A11">
        <v>8</v>
      </c>
      <c r="B11">
        <v>10</v>
      </c>
      <c r="C11" t="s">
        <v>50</v>
      </c>
      <c r="D11" t="s">
        <v>33</v>
      </c>
      <c r="E11" t="s">
        <v>14</v>
      </c>
      <c r="F11">
        <v>34</v>
      </c>
      <c r="G11" s="6">
        <v>0</v>
      </c>
      <c r="H11">
        <v>10</v>
      </c>
      <c r="I11" t="str" cm="1">
        <f t="array" ref="I11">_xlfn.IFS(H11&gt;=9,"Grade A", H11&gt;=5, "Grade B",H11&lt;=4, "Grade C")</f>
        <v>Grade A</v>
      </c>
      <c r="J11" t="s">
        <v>51</v>
      </c>
      <c r="K11" t="str">
        <f t="shared" si="1"/>
        <v>sneha</v>
      </c>
      <c r="L11" t="str">
        <f t="shared" si="2"/>
        <v>company.com</v>
      </c>
      <c r="M11" s="11" t="s">
        <v>52</v>
      </c>
      <c r="N11" s="2" t="s">
        <v>53</v>
      </c>
      <c r="O11" t="s">
        <v>18</v>
      </c>
      <c r="P11">
        <v>88985</v>
      </c>
    </row>
    <row r="12" spans="1:27" ht="15.6" x14ac:dyDescent="0.3">
      <c r="A12">
        <v>9</v>
      </c>
      <c r="B12">
        <v>11</v>
      </c>
      <c r="C12" t="s">
        <v>32</v>
      </c>
      <c r="D12" t="s">
        <v>20</v>
      </c>
      <c r="E12" t="s">
        <v>14</v>
      </c>
      <c r="F12">
        <v>56</v>
      </c>
      <c r="G12" s="6">
        <v>81133</v>
      </c>
      <c r="H12">
        <v>3</v>
      </c>
      <c r="I12" t="str" cm="1">
        <f t="array" ref="I12">_xlfn.IFS(H12&gt;=9,"Grade A", H12&gt;=5, "Grade B",H12&lt;=4, "Grade C")</f>
        <v>Grade C</v>
      </c>
      <c r="J12" t="s">
        <v>34</v>
      </c>
      <c r="K12" t="str">
        <f t="shared" si="1"/>
        <v>karan</v>
      </c>
      <c r="L12" t="str">
        <f t="shared" si="2"/>
        <v>company.com</v>
      </c>
      <c r="M12" s="11">
        <v>0</v>
      </c>
      <c r="N12" s="2" t="s">
        <v>54</v>
      </c>
      <c r="O12" t="s">
        <v>31</v>
      </c>
      <c r="P12">
        <v>110685</v>
      </c>
      <c r="U12" s="3" t="s">
        <v>275</v>
      </c>
      <c r="V12" t="s">
        <v>276</v>
      </c>
      <c r="Z12" s="3" t="s">
        <v>277</v>
      </c>
      <c r="AA12" t="s">
        <v>278</v>
      </c>
    </row>
    <row r="13" spans="1:27" x14ac:dyDescent="0.3">
      <c r="A13">
        <v>11</v>
      </c>
      <c r="B13">
        <v>12</v>
      </c>
      <c r="C13" t="s">
        <v>59</v>
      </c>
      <c r="D13" t="s">
        <v>33</v>
      </c>
      <c r="E13" t="s">
        <v>21</v>
      </c>
      <c r="F13">
        <v>0</v>
      </c>
      <c r="G13" s="6">
        <v>53884</v>
      </c>
      <c r="H13">
        <v>6</v>
      </c>
      <c r="I13" t="str" cm="1">
        <f t="array" ref="I13">_xlfn.IFS(H13&gt;=9,"Grade A", H13&gt;=5, "Grade B",H13&lt;=4, "Grade C")</f>
        <v>Grade B</v>
      </c>
      <c r="J13" t="s">
        <v>60</v>
      </c>
      <c r="K13" t="str">
        <f t="shared" si="1"/>
        <v>pooja</v>
      </c>
      <c r="L13" t="str">
        <f t="shared" si="2"/>
        <v>company.com</v>
      </c>
      <c r="M13" s="11" t="s">
        <v>61</v>
      </c>
      <c r="N13" s="2" t="s">
        <v>62</v>
      </c>
      <c r="O13" t="s">
        <v>31</v>
      </c>
      <c r="P13">
        <v>367078</v>
      </c>
      <c r="U13" t="s">
        <v>13</v>
      </c>
      <c r="V13">
        <f t="shared" ref="V13:V18" ca="1" si="3">AVERAGEIF(D:D,U13,G1)</f>
        <v>61461.809523809527</v>
      </c>
      <c r="Z13" t="s">
        <v>13</v>
      </c>
      <c r="AA13">
        <f t="shared" ref="AA13:AA18" si="4">_xlfn.MAXIFS(G:G,D:D,Z13)</f>
        <v>98253</v>
      </c>
    </row>
    <row r="14" spans="1:27" x14ac:dyDescent="0.3">
      <c r="A14">
        <v>12</v>
      </c>
      <c r="B14">
        <v>13</v>
      </c>
      <c r="C14" t="s">
        <v>268</v>
      </c>
      <c r="D14" t="s">
        <v>26</v>
      </c>
      <c r="E14" t="s">
        <v>82</v>
      </c>
      <c r="F14">
        <v>31</v>
      </c>
      <c r="G14" s="6">
        <v>97923</v>
      </c>
      <c r="H14">
        <v>13</v>
      </c>
      <c r="I14" t="str" cm="1">
        <f t="array" ref="I14">_xlfn.IFS(H14&gt;=9,"Grade A", H14&gt;=5, "Grade B",H14&lt;=4, "Grade C")</f>
        <v>Grade A</v>
      </c>
      <c r="J14" t="s">
        <v>34</v>
      </c>
      <c r="K14" t="str">
        <f t="shared" si="1"/>
        <v>karan</v>
      </c>
      <c r="L14" t="str">
        <f t="shared" si="2"/>
        <v>company.com</v>
      </c>
      <c r="M14" s="11" t="s">
        <v>63</v>
      </c>
      <c r="N14" s="2" t="s">
        <v>64</v>
      </c>
      <c r="O14" t="s">
        <v>18</v>
      </c>
      <c r="P14">
        <v>149044</v>
      </c>
      <c r="U14" t="s">
        <v>268</v>
      </c>
      <c r="V14">
        <f t="shared" ca="1" si="3"/>
        <v>42368.5</v>
      </c>
      <c r="Z14" t="s">
        <v>268</v>
      </c>
      <c r="AA14">
        <f t="shared" si="4"/>
        <v>95185</v>
      </c>
    </row>
    <row r="15" spans="1:27" x14ac:dyDescent="0.3">
      <c r="A15">
        <v>13</v>
      </c>
      <c r="B15">
        <v>14</v>
      </c>
      <c r="C15" t="s">
        <v>59</v>
      </c>
      <c r="D15" t="s">
        <v>13</v>
      </c>
      <c r="E15" t="s">
        <v>21</v>
      </c>
      <c r="F15">
        <v>34</v>
      </c>
      <c r="G15" s="6">
        <v>73351</v>
      </c>
      <c r="H15">
        <v>12</v>
      </c>
      <c r="I15" t="str" cm="1">
        <f t="array" ref="I15">_xlfn.IFS(H15&gt;=9,"Grade A", H15&gt;=5, "Grade B",H15&lt;=4, "Grade C")</f>
        <v>Grade A</v>
      </c>
      <c r="J15" t="s">
        <v>60</v>
      </c>
      <c r="K15" t="str">
        <f t="shared" si="1"/>
        <v>pooja</v>
      </c>
      <c r="L15" t="str">
        <f t="shared" si="2"/>
        <v>company.com</v>
      </c>
      <c r="M15" s="11" t="s">
        <v>65</v>
      </c>
      <c r="N15" s="2" t="s">
        <v>66</v>
      </c>
      <c r="O15" t="s">
        <v>18</v>
      </c>
      <c r="P15">
        <v>495134</v>
      </c>
      <c r="U15" t="s">
        <v>20</v>
      </c>
      <c r="V15">
        <f t="shared" ca="1" si="3"/>
        <v>55347.352941176468</v>
      </c>
      <c r="Z15" t="s">
        <v>20</v>
      </c>
      <c r="AA15">
        <f t="shared" si="4"/>
        <v>99095</v>
      </c>
    </row>
    <row r="16" spans="1:27" x14ac:dyDescent="0.3">
      <c r="A16">
        <v>13</v>
      </c>
      <c r="B16">
        <v>15</v>
      </c>
      <c r="C16" t="s">
        <v>260</v>
      </c>
      <c r="D16" t="s">
        <v>26</v>
      </c>
      <c r="E16" t="s">
        <v>82</v>
      </c>
      <c r="F16">
        <v>48</v>
      </c>
      <c r="G16" s="6">
        <v>69125</v>
      </c>
      <c r="H16">
        <v>11</v>
      </c>
      <c r="I16" t="str" cm="1">
        <f t="array" ref="I16">_xlfn.IFS(H16&gt;=9,"Grade A", H16&gt;=5, "Grade B",H16&lt;=4, "Grade C")</f>
        <v>Grade A</v>
      </c>
      <c r="J16" t="s">
        <v>28</v>
      </c>
      <c r="K16" t="str">
        <f t="shared" si="1"/>
        <v>rahul</v>
      </c>
      <c r="L16" t="str">
        <f t="shared" si="2"/>
        <v>company.com</v>
      </c>
      <c r="M16" s="11" t="s">
        <v>83</v>
      </c>
      <c r="N16" s="2" t="s">
        <v>84</v>
      </c>
      <c r="O16" t="s">
        <v>18</v>
      </c>
      <c r="P16">
        <v>0</v>
      </c>
      <c r="U16" t="s">
        <v>26</v>
      </c>
      <c r="V16">
        <f t="shared" ca="1" si="3"/>
        <v>42076.571428571428</v>
      </c>
      <c r="Z16" t="s">
        <v>26</v>
      </c>
      <c r="AA16">
        <f t="shared" si="4"/>
        <v>97923</v>
      </c>
    </row>
    <row r="17" spans="1:27" x14ac:dyDescent="0.3">
      <c r="A17">
        <v>14</v>
      </c>
      <c r="B17">
        <v>16</v>
      </c>
      <c r="C17" t="s">
        <v>262</v>
      </c>
      <c r="D17" t="s">
        <v>20</v>
      </c>
      <c r="E17" t="s">
        <v>39</v>
      </c>
      <c r="F17">
        <v>40</v>
      </c>
      <c r="G17" s="6">
        <v>24760</v>
      </c>
      <c r="H17">
        <v>15</v>
      </c>
      <c r="I17" t="str" cm="1">
        <f t="array" ref="I17">_xlfn.IFS(H17&gt;=9,"Grade A", H17&gt;=5, "Grade B",H17&lt;=4, "Grade C")</f>
        <v>Grade A</v>
      </c>
      <c r="J17" t="s">
        <v>56</v>
      </c>
      <c r="K17" t="str">
        <f t="shared" si="1"/>
        <v>amit</v>
      </c>
      <c r="L17" t="str">
        <f t="shared" si="2"/>
        <v>company.com</v>
      </c>
      <c r="M17" s="11" t="s">
        <v>57</v>
      </c>
      <c r="N17" s="2" t="s">
        <v>58</v>
      </c>
      <c r="O17" t="s">
        <v>31</v>
      </c>
      <c r="P17">
        <v>0</v>
      </c>
      <c r="U17" t="s">
        <v>33</v>
      </c>
      <c r="V17">
        <f t="shared" ca="1" si="3"/>
        <v>46792.882352941175</v>
      </c>
      <c r="Z17" t="s">
        <v>33</v>
      </c>
      <c r="AA17">
        <f t="shared" si="4"/>
        <v>95843</v>
      </c>
    </row>
    <row r="18" spans="1:27" x14ac:dyDescent="0.3">
      <c r="A18">
        <v>14</v>
      </c>
      <c r="B18">
        <v>17</v>
      </c>
      <c r="C18" t="s">
        <v>19</v>
      </c>
      <c r="D18" t="s">
        <v>33</v>
      </c>
      <c r="E18" t="s">
        <v>27</v>
      </c>
      <c r="F18">
        <v>46</v>
      </c>
      <c r="G18" s="6">
        <v>58765</v>
      </c>
      <c r="H18">
        <v>15</v>
      </c>
      <c r="I18" t="str" cm="1">
        <f t="array" ref="I18">_xlfn.IFS(H18&gt;=9,"Grade A", H18&gt;=5, "Grade B",H18&lt;=4, "Grade C")</f>
        <v>Grade A</v>
      </c>
      <c r="J18" t="s">
        <v>22</v>
      </c>
      <c r="K18" t="str">
        <f t="shared" si="1"/>
        <v>rohit</v>
      </c>
      <c r="L18" t="str">
        <f t="shared" si="2"/>
        <v>company.com</v>
      </c>
      <c r="M18" s="11" t="s">
        <v>68</v>
      </c>
      <c r="N18" s="2" t="s">
        <v>69</v>
      </c>
      <c r="O18" t="s">
        <v>31</v>
      </c>
      <c r="P18">
        <v>449600</v>
      </c>
      <c r="U18" t="s">
        <v>92</v>
      </c>
      <c r="V18">
        <f t="shared" ca="1" si="3"/>
        <v>63795.681818181816</v>
      </c>
      <c r="Z18" t="s">
        <v>92</v>
      </c>
      <c r="AA18">
        <f t="shared" si="4"/>
        <v>99758</v>
      </c>
    </row>
    <row r="19" spans="1:27" x14ac:dyDescent="0.3">
      <c r="A19">
        <v>14</v>
      </c>
      <c r="B19">
        <v>18</v>
      </c>
      <c r="C19" t="s">
        <v>263</v>
      </c>
      <c r="D19" t="s">
        <v>92</v>
      </c>
      <c r="E19" t="s">
        <v>39</v>
      </c>
      <c r="F19">
        <v>22</v>
      </c>
      <c r="G19" s="6">
        <v>0</v>
      </c>
      <c r="H19">
        <v>13</v>
      </c>
      <c r="I19" t="str" cm="1">
        <f t="array" ref="I19">_xlfn.IFS(H19&gt;=9,"Grade A", H19&gt;=5, "Grade B",H19&lt;=4, "Grade C")</f>
        <v>Grade A</v>
      </c>
      <c r="J19" t="s">
        <v>51</v>
      </c>
      <c r="K19" t="str">
        <f t="shared" si="1"/>
        <v>sneha</v>
      </c>
      <c r="L19" t="str">
        <f t="shared" si="2"/>
        <v>company.com</v>
      </c>
      <c r="M19" s="11" t="s">
        <v>133</v>
      </c>
      <c r="N19" s="2" t="s">
        <v>134</v>
      </c>
      <c r="O19" t="s">
        <v>31</v>
      </c>
      <c r="P19">
        <v>0</v>
      </c>
    </row>
    <row r="20" spans="1:27" x14ac:dyDescent="0.3">
      <c r="A20">
        <v>14</v>
      </c>
      <c r="B20">
        <v>19</v>
      </c>
      <c r="C20" t="s">
        <v>262</v>
      </c>
      <c r="D20" t="s">
        <v>92</v>
      </c>
      <c r="E20" t="s">
        <v>39</v>
      </c>
      <c r="F20">
        <v>28</v>
      </c>
      <c r="G20" s="6">
        <v>56991</v>
      </c>
      <c r="H20">
        <v>8</v>
      </c>
      <c r="I20" t="str" cm="1">
        <f t="array" ref="I20">_xlfn.IFS(H20&gt;=9,"Grade A", H20&gt;=5, "Grade B",H20&lt;=4, "Grade C")</f>
        <v>Grade B</v>
      </c>
      <c r="J20" s="12" t="s">
        <v>56</v>
      </c>
      <c r="K20" t="str">
        <f t="shared" si="1"/>
        <v>amit</v>
      </c>
      <c r="L20" t="str">
        <f t="shared" si="2"/>
        <v>company.com</v>
      </c>
      <c r="M20" s="11" t="s">
        <v>249</v>
      </c>
      <c r="N20" s="2" t="s">
        <v>250</v>
      </c>
      <c r="O20" t="s">
        <v>18</v>
      </c>
      <c r="P20">
        <v>0</v>
      </c>
    </row>
    <row r="21" spans="1:27" x14ac:dyDescent="0.3">
      <c r="A21">
        <v>15</v>
      </c>
      <c r="B21">
        <v>20</v>
      </c>
      <c r="C21" t="s">
        <v>260</v>
      </c>
      <c r="D21" t="s">
        <v>268</v>
      </c>
      <c r="E21" t="s">
        <v>27</v>
      </c>
      <c r="F21">
        <v>51</v>
      </c>
      <c r="G21" s="6">
        <v>87271</v>
      </c>
      <c r="H21">
        <v>1</v>
      </c>
      <c r="I21" t="str" cm="1">
        <f t="array" ref="I21">_xlfn.IFS(H21&gt;=9,"Grade A", H21&gt;=5, "Grade B",H21&lt;=4, "Grade C")</f>
        <v>Grade C</v>
      </c>
      <c r="J21" t="s">
        <v>28</v>
      </c>
      <c r="K21" t="str">
        <f t="shared" si="1"/>
        <v>rahul</v>
      </c>
      <c r="L21" t="str">
        <f t="shared" si="2"/>
        <v>company.com</v>
      </c>
      <c r="M21" s="11" t="s">
        <v>70</v>
      </c>
      <c r="N21" s="2" t="s">
        <v>71</v>
      </c>
      <c r="O21" t="s">
        <v>31</v>
      </c>
      <c r="P21">
        <v>496804</v>
      </c>
    </row>
    <row r="22" spans="1:27" x14ac:dyDescent="0.3">
      <c r="A22">
        <v>16</v>
      </c>
      <c r="B22">
        <v>21</v>
      </c>
      <c r="C22" t="s">
        <v>19</v>
      </c>
      <c r="D22" t="s">
        <v>20</v>
      </c>
      <c r="E22" t="s">
        <v>14</v>
      </c>
      <c r="F22">
        <v>50</v>
      </c>
      <c r="G22" s="6">
        <v>0</v>
      </c>
      <c r="H22">
        <v>6</v>
      </c>
      <c r="I22" t="str" cm="1">
        <f t="array" ref="I22">_xlfn.IFS(H22&gt;=9,"Grade A", H22&gt;=5, "Grade B",H22&lt;=4, "Grade C")</f>
        <v>Grade B</v>
      </c>
      <c r="J22" t="s">
        <v>22</v>
      </c>
      <c r="K22" t="str">
        <f t="shared" si="1"/>
        <v>rohit</v>
      </c>
      <c r="L22" t="str">
        <f t="shared" si="2"/>
        <v>company.com</v>
      </c>
      <c r="M22" s="11" t="s">
        <v>72</v>
      </c>
      <c r="N22" s="2" t="s">
        <v>73</v>
      </c>
      <c r="O22" t="s">
        <v>31</v>
      </c>
      <c r="P22">
        <v>426614</v>
      </c>
    </row>
    <row r="23" spans="1:27" x14ac:dyDescent="0.3">
      <c r="A23">
        <v>16</v>
      </c>
      <c r="B23">
        <v>22</v>
      </c>
      <c r="C23" t="s">
        <v>263</v>
      </c>
      <c r="D23" t="s">
        <v>20</v>
      </c>
      <c r="E23" t="s">
        <v>21</v>
      </c>
      <c r="F23">
        <v>51</v>
      </c>
      <c r="G23" s="6">
        <v>72895</v>
      </c>
      <c r="H23">
        <v>8</v>
      </c>
      <c r="I23" t="str" cm="1">
        <f t="array" ref="I23">_xlfn.IFS(H23&gt;=9,"Grade A", H23&gt;=5, "Grade B",H23&lt;=4, "Grade C")</f>
        <v>Grade B</v>
      </c>
      <c r="J23" t="s">
        <v>51</v>
      </c>
      <c r="K23" t="str">
        <f t="shared" si="1"/>
        <v>sneha</v>
      </c>
      <c r="L23" t="str">
        <f t="shared" si="2"/>
        <v>company.com</v>
      </c>
      <c r="M23" s="11" t="s">
        <v>193</v>
      </c>
      <c r="N23" s="2" t="s">
        <v>194</v>
      </c>
      <c r="O23" t="s">
        <v>18</v>
      </c>
      <c r="P23">
        <v>0</v>
      </c>
    </row>
    <row r="24" spans="1:27" x14ac:dyDescent="0.3">
      <c r="A24">
        <v>17</v>
      </c>
      <c r="B24">
        <v>23</v>
      </c>
      <c r="C24" t="s">
        <v>75</v>
      </c>
      <c r="D24" t="s">
        <v>33</v>
      </c>
      <c r="E24" t="s">
        <v>14</v>
      </c>
      <c r="F24">
        <v>35</v>
      </c>
      <c r="G24" s="6">
        <v>89544</v>
      </c>
      <c r="H24">
        <v>2</v>
      </c>
      <c r="I24" t="str" cm="1">
        <f t="array" ref="I24">_xlfn.IFS(H24&gt;=9,"Grade A", H24&gt;=5, "Grade B",H24&lt;=4, "Grade C")</f>
        <v>Grade C</v>
      </c>
      <c r="J24" t="s">
        <v>56</v>
      </c>
      <c r="K24" t="str">
        <f t="shared" si="1"/>
        <v>amit</v>
      </c>
      <c r="L24" t="str">
        <f t="shared" si="2"/>
        <v>company.com</v>
      </c>
      <c r="M24" s="11" t="s">
        <v>76</v>
      </c>
      <c r="N24" s="2" t="s">
        <v>77</v>
      </c>
      <c r="O24" t="s">
        <v>18</v>
      </c>
      <c r="P24">
        <v>474917</v>
      </c>
    </row>
    <row r="25" spans="1:27" x14ac:dyDescent="0.3">
      <c r="A25">
        <v>17</v>
      </c>
      <c r="B25">
        <v>24</v>
      </c>
      <c r="C25" t="s">
        <v>261</v>
      </c>
      <c r="D25" t="s">
        <v>13</v>
      </c>
      <c r="E25" t="s">
        <v>14</v>
      </c>
      <c r="F25">
        <v>57</v>
      </c>
      <c r="G25" s="6">
        <v>66972</v>
      </c>
      <c r="H25">
        <v>12</v>
      </c>
      <c r="I25" t="str" cm="1">
        <f t="array" ref="I25">_xlfn.IFS(H25&gt;=9,"Grade A", H25&gt;=5, "Grade B",H25&lt;=4, "Grade C")</f>
        <v>Grade A</v>
      </c>
      <c r="J25" t="s">
        <v>22</v>
      </c>
      <c r="K25" t="str">
        <f t="shared" si="1"/>
        <v>rohit</v>
      </c>
      <c r="L25" t="str">
        <f t="shared" si="2"/>
        <v>company.com</v>
      </c>
      <c r="M25" s="11" t="s">
        <v>153</v>
      </c>
      <c r="N25" s="2" t="s">
        <v>154</v>
      </c>
      <c r="O25" t="s">
        <v>31</v>
      </c>
      <c r="P25">
        <v>0</v>
      </c>
    </row>
    <row r="26" spans="1:27" x14ac:dyDescent="0.3">
      <c r="A26">
        <v>18</v>
      </c>
      <c r="B26">
        <v>25</v>
      </c>
      <c r="C26" t="s">
        <v>12</v>
      </c>
      <c r="D26" t="s">
        <v>13</v>
      </c>
      <c r="E26" t="s">
        <v>14</v>
      </c>
      <c r="F26">
        <v>48</v>
      </c>
      <c r="G26" s="6">
        <v>88337</v>
      </c>
      <c r="H26">
        <v>11</v>
      </c>
      <c r="I26" t="str" cm="1">
        <f t="array" ref="I26">_xlfn.IFS(H26&gt;=9,"Grade A", H26&gt;=5, "Grade B",H26&lt;=4, "Grade C")</f>
        <v>Grade A</v>
      </c>
      <c r="J26" t="s">
        <v>15</v>
      </c>
      <c r="K26" t="str">
        <f t="shared" si="1"/>
        <v>neha</v>
      </c>
      <c r="L26" t="str">
        <f t="shared" si="2"/>
        <v>company.com</v>
      </c>
      <c r="M26" s="11" t="s">
        <v>80</v>
      </c>
      <c r="N26" s="2" t="s">
        <v>79</v>
      </c>
      <c r="O26" t="s">
        <v>18</v>
      </c>
      <c r="P26">
        <v>484342</v>
      </c>
    </row>
    <row r="27" spans="1:27" x14ac:dyDescent="0.3">
      <c r="A27">
        <v>19</v>
      </c>
      <c r="B27">
        <v>26</v>
      </c>
      <c r="C27" t="s">
        <v>75</v>
      </c>
      <c r="D27" t="s">
        <v>20</v>
      </c>
      <c r="E27" t="s">
        <v>39</v>
      </c>
      <c r="F27">
        <v>39</v>
      </c>
      <c r="G27" s="6">
        <v>55709</v>
      </c>
      <c r="H27">
        <v>2</v>
      </c>
      <c r="I27" t="str" cm="1">
        <f t="array" ref="I27">_xlfn.IFS(H27&gt;=9,"Grade A", H27&gt;=5, "Grade B",H27&lt;=4, "Grade C")</f>
        <v>Grade C</v>
      </c>
      <c r="J27" t="s">
        <v>56</v>
      </c>
      <c r="K27" t="str">
        <f t="shared" si="1"/>
        <v>amit</v>
      </c>
      <c r="L27" t="str">
        <f t="shared" si="2"/>
        <v>company.com</v>
      </c>
      <c r="M27" s="11" t="s">
        <v>212</v>
      </c>
      <c r="N27" s="2" t="s">
        <v>81</v>
      </c>
      <c r="O27" t="s">
        <v>31</v>
      </c>
      <c r="P27">
        <v>51315</v>
      </c>
    </row>
    <row r="28" spans="1:27" x14ac:dyDescent="0.3">
      <c r="A28">
        <v>19</v>
      </c>
      <c r="B28">
        <v>27</v>
      </c>
      <c r="C28" t="s">
        <v>262</v>
      </c>
      <c r="D28" t="s">
        <v>268</v>
      </c>
      <c r="E28" t="s">
        <v>82</v>
      </c>
      <c r="F28">
        <v>40</v>
      </c>
      <c r="G28" s="6">
        <v>83340</v>
      </c>
      <c r="H28">
        <v>8</v>
      </c>
      <c r="I28" t="str" cm="1">
        <f t="array" ref="I28">_xlfn.IFS(H28&gt;=9,"Grade A", H28&gt;=5, "Grade B",H28&lt;=4, "Grade C")</f>
        <v>Grade B</v>
      </c>
      <c r="J28" t="s">
        <v>56</v>
      </c>
      <c r="K28" t="str">
        <f t="shared" si="1"/>
        <v>amit</v>
      </c>
      <c r="L28" t="str">
        <f t="shared" si="2"/>
        <v>company.com</v>
      </c>
      <c r="M28" s="11" t="s">
        <v>86</v>
      </c>
      <c r="N28" s="2" t="s">
        <v>231</v>
      </c>
      <c r="O28" t="s">
        <v>31</v>
      </c>
      <c r="P28">
        <v>0</v>
      </c>
    </row>
    <row r="29" spans="1:27" x14ac:dyDescent="0.3">
      <c r="A29">
        <v>20</v>
      </c>
      <c r="B29">
        <v>28</v>
      </c>
      <c r="C29" t="s">
        <v>261</v>
      </c>
      <c r="D29" t="s">
        <v>20</v>
      </c>
      <c r="E29" t="s">
        <v>82</v>
      </c>
      <c r="F29">
        <v>47</v>
      </c>
      <c r="G29" s="6">
        <v>0</v>
      </c>
      <c r="H29">
        <v>6</v>
      </c>
      <c r="I29" t="str" cm="1">
        <f t="array" ref="I29">_xlfn.IFS(H29&gt;=9,"Grade A", H29&gt;=5, "Grade B",H29&lt;=4, "Grade C")</f>
        <v>Grade B</v>
      </c>
      <c r="J29" t="s">
        <v>22</v>
      </c>
      <c r="K29" t="str">
        <f t="shared" si="1"/>
        <v>rohit</v>
      </c>
      <c r="L29" t="str">
        <f t="shared" si="2"/>
        <v>company.com</v>
      </c>
      <c r="M29" s="11" t="s">
        <v>88</v>
      </c>
      <c r="N29" s="2" t="s">
        <v>213</v>
      </c>
      <c r="O29" t="s">
        <v>18</v>
      </c>
      <c r="P29">
        <v>0</v>
      </c>
    </row>
    <row r="30" spans="1:27" x14ac:dyDescent="0.3">
      <c r="A30">
        <v>21</v>
      </c>
      <c r="B30">
        <v>29</v>
      </c>
      <c r="C30" t="s">
        <v>32</v>
      </c>
      <c r="D30" t="s">
        <v>26</v>
      </c>
      <c r="E30" t="s">
        <v>21</v>
      </c>
      <c r="F30">
        <v>29</v>
      </c>
      <c r="G30" s="6">
        <v>79594</v>
      </c>
      <c r="H30">
        <v>0</v>
      </c>
      <c r="I30" t="str" cm="1">
        <f t="array" ref="I30">_xlfn.IFS(H30&gt;=9,"Grade A", H30&gt;=5, "Grade B",H30&lt;=4, "Grade C")</f>
        <v>Grade C</v>
      </c>
      <c r="J30" t="s">
        <v>34</v>
      </c>
      <c r="K30" t="str">
        <f t="shared" si="1"/>
        <v>karan</v>
      </c>
      <c r="L30" t="str">
        <f t="shared" si="2"/>
        <v>company.com</v>
      </c>
      <c r="M30" s="11" t="s">
        <v>90</v>
      </c>
      <c r="N30" s="2" t="s">
        <v>87</v>
      </c>
      <c r="O30" t="s">
        <v>18</v>
      </c>
      <c r="P30">
        <v>212327</v>
      </c>
    </row>
    <row r="31" spans="1:27" x14ac:dyDescent="0.3">
      <c r="A31">
        <v>22</v>
      </c>
      <c r="B31">
        <v>30</v>
      </c>
      <c r="C31" t="s">
        <v>59</v>
      </c>
      <c r="D31" t="s">
        <v>26</v>
      </c>
      <c r="E31" t="s">
        <v>82</v>
      </c>
      <c r="F31">
        <v>0</v>
      </c>
      <c r="G31" s="6">
        <v>79891</v>
      </c>
      <c r="H31">
        <v>8</v>
      </c>
      <c r="I31" t="str" cm="1">
        <f t="array" ref="I31">_xlfn.IFS(H31&gt;=9,"Grade A", H31&gt;=5, "Grade B",H31&lt;=4, "Grade C")</f>
        <v>Grade B</v>
      </c>
      <c r="J31" t="s">
        <v>60</v>
      </c>
      <c r="K31" t="str">
        <f t="shared" si="1"/>
        <v>pooja</v>
      </c>
      <c r="L31" t="str">
        <f t="shared" si="2"/>
        <v>company.com</v>
      </c>
      <c r="M31" s="11" t="s">
        <v>94</v>
      </c>
      <c r="N31" s="2" t="s">
        <v>89</v>
      </c>
      <c r="O31" t="s">
        <v>18</v>
      </c>
      <c r="P31">
        <v>338934</v>
      </c>
    </row>
    <row r="32" spans="1:27" x14ac:dyDescent="0.3">
      <c r="A32">
        <v>23</v>
      </c>
      <c r="B32">
        <v>31</v>
      </c>
      <c r="C32" t="s">
        <v>25</v>
      </c>
      <c r="D32" t="s">
        <v>13</v>
      </c>
      <c r="E32" t="s">
        <v>14</v>
      </c>
      <c r="F32">
        <v>59</v>
      </c>
      <c r="G32" s="6">
        <v>28803</v>
      </c>
      <c r="H32">
        <v>9</v>
      </c>
      <c r="I32" t="str" cm="1">
        <f t="array" ref="I32">_xlfn.IFS(H32&gt;=9,"Grade A", H32&gt;=5, "Grade B",H32&lt;=4, "Grade C")</f>
        <v>Grade A</v>
      </c>
      <c r="J32" t="s">
        <v>28</v>
      </c>
      <c r="K32" t="str">
        <f t="shared" si="1"/>
        <v>rahul</v>
      </c>
      <c r="L32" t="str">
        <f t="shared" si="2"/>
        <v>company.com</v>
      </c>
      <c r="M32" s="11" t="s">
        <v>98</v>
      </c>
      <c r="N32" s="2" t="s">
        <v>91</v>
      </c>
      <c r="O32" t="s">
        <v>31</v>
      </c>
      <c r="P32">
        <v>376847</v>
      </c>
    </row>
    <row r="33" spans="1:24" x14ac:dyDescent="0.3">
      <c r="A33">
        <v>24</v>
      </c>
      <c r="B33">
        <v>32</v>
      </c>
      <c r="C33" t="s">
        <v>268</v>
      </c>
      <c r="D33" t="s">
        <v>92</v>
      </c>
      <c r="E33" t="s">
        <v>14</v>
      </c>
      <c r="F33">
        <v>30</v>
      </c>
      <c r="G33" s="6">
        <v>0</v>
      </c>
      <c r="H33">
        <v>9</v>
      </c>
      <c r="I33" t="str" cm="1">
        <f t="array" ref="I33">_xlfn.IFS(H33&gt;=9,"Grade A", H33&gt;=5, "Grade B",H33&lt;=4, "Grade C")</f>
        <v>Grade A</v>
      </c>
      <c r="J33" t="s">
        <v>93</v>
      </c>
      <c r="K33" t="str">
        <f t="shared" si="1"/>
        <v>priya</v>
      </c>
      <c r="L33" t="str">
        <f t="shared" si="2"/>
        <v>company.com</v>
      </c>
      <c r="M33" s="11" t="s">
        <v>100</v>
      </c>
      <c r="N33" s="2" t="s">
        <v>95</v>
      </c>
      <c r="O33" t="s">
        <v>18</v>
      </c>
      <c r="P33">
        <v>327214</v>
      </c>
    </row>
    <row r="34" spans="1:24" x14ac:dyDescent="0.3">
      <c r="A34">
        <v>25</v>
      </c>
      <c r="B34">
        <v>33</v>
      </c>
      <c r="C34" t="s">
        <v>264</v>
      </c>
      <c r="D34" t="s">
        <v>13</v>
      </c>
      <c r="E34" t="s">
        <v>39</v>
      </c>
      <c r="F34">
        <v>38</v>
      </c>
      <c r="G34" s="6">
        <v>75773</v>
      </c>
      <c r="H34">
        <v>10</v>
      </c>
      <c r="I34" t="str" cm="1">
        <f t="array" ref="I34">_xlfn.IFS(H34&gt;=9,"Grade A", H34&gt;=5, "Grade B",H34&lt;=4, "Grade C")</f>
        <v>Grade A</v>
      </c>
      <c r="J34" t="s">
        <v>97</v>
      </c>
      <c r="K34" t="str">
        <f t="shared" si="1"/>
        <v>anjali</v>
      </c>
      <c r="L34" t="str">
        <f t="shared" si="2"/>
        <v>company.com</v>
      </c>
      <c r="M34" s="11" t="s">
        <v>105</v>
      </c>
      <c r="N34" s="2" t="s">
        <v>99</v>
      </c>
      <c r="O34" t="s">
        <v>31</v>
      </c>
      <c r="P34">
        <v>342488</v>
      </c>
    </row>
    <row r="35" spans="1:24" x14ac:dyDescent="0.3">
      <c r="A35">
        <v>26</v>
      </c>
      <c r="B35">
        <v>34</v>
      </c>
      <c r="C35" t="s">
        <v>50</v>
      </c>
      <c r="D35" t="s">
        <v>20</v>
      </c>
      <c r="E35" t="s">
        <v>39</v>
      </c>
      <c r="F35">
        <v>27</v>
      </c>
      <c r="G35" s="6">
        <v>46399</v>
      </c>
      <c r="H35">
        <v>10</v>
      </c>
      <c r="I35" t="str" cm="1">
        <f t="array" ref="I35">_xlfn.IFS(H35&gt;=9,"Grade A", H35&gt;=5, "Grade B",H35&lt;=4, "Grade C")</f>
        <v>Grade A</v>
      </c>
      <c r="J35" t="s">
        <v>51</v>
      </c>
      <c r="K35" t="str">
        <f t="shared" si="1"/>
        <v>sneha</v>
      </c>
      <c r="L35" t="str">
        <f t="shared" si="2"/>
        <v>company.com</v>
      </c>
      <c r="M35" s="11" t="s">
        <v>107</v>
      </c>
      <c r="N35" s="2" t="s">
        <v>101</v>
      </c>
      <c r="O35" t="s">
        <v>31</v>
      </c>
      <c r="P35">
        <v>258748</v>
      </c>
    </row>
    <row r="36" spans="1:24" ht="15.6" x14ac:dyDescent="0.3">
      <c r="A36">
        <v>27</v>
      </c>
      <c r="B36">
        <v>35</v>
      </c>
      <c r="C36" t="s">
        <v>102</v>
      </c>
      <c r="D36" t="s">
        <v>92</v>
      </c>
      <c r="E36" t="s">
        <v>21</v>
      </c>
      <c r="F36">
        <v>38</v>
      </c>
      <c r="G36" s="6">
        <v>99758</v>
      </c>
      <c r="H36">
        <v>13</v>
      </c>
      <c r="I36" t="str" cm="1">
        <f t="array" ref="I36">_xlfn.IFS(H36&gt;=9,"Grade A", H36&gt;=5, "Grade B",H36&lt;=4, "Grade C")</f>
        <v>Grade A</v>
      </c>
      <c r="J36" t="s">
        <v>93</v>
      </c>
      <c r="K36" t="str">
        <f t="shared" si="1"/>
        <v>priya</v>
      </c>
      <c r="L36" t="str">
        <f t="shared" si="2"/>
        <v>company.com</v>
      </c>
      <c r="M36" s="11" t="s">
        <v>113</v>
      </c>
      <c r="N36" s="2" t="s">
        <v>103</v>
      </c>
      <c r="O36" t="s">
        <v>18</v>
      </c>
      <c r="P36">
        <v>246798</v>
      </c>
      <c r="V36" s="13" t="s">
        <v>39</v>
      </c>
      <c r="W36" s="13" t="s">
        <v>284</v>
      </c>
      <c r="X36" s="14" t="s">
        <v>279</v>
      </c>
    </row>
    <row r="37" spans="1:24" hidden="1" x14ac:dyDescent="0.3">
      <c r="A37">
        <v>28</v>
      </c>
      <c r="B37">
        <v>36</v>
      </c>
      <c r="C37" t="s">
        <v>32</v>
      </c>
      <c r="D37" t="s">
        <v>92</v>
      </c>
      <c r="E37" t="s">
        <v>82</v>
      </c>
      <c r="F37">
        <v>41</v>
      </c>
      <c r="G37" s="6">
        <v>62135</v>
      </c>
      <c r="H37">
        <v>15</v>
      </c>
      <c r="I37" t="str" cm="1">
        <f t="array" ref="I37">_xlfn.IFS(AND(E37="Analyst",H37&gt;9),"Grade A", AND(E37="Analyst",H37&gt;6),"Grade B",AND(E37="Analyst",H37&lt;=6),"Grade C",E37&lt;&gt;"Analyst","Not an Analyst")</f>
        <v>Not an Analyst</v>
      </c>
      <c r="J37" t="s">
        <v>34</v>
      </c>
      <c r="K37" t="str">
        <f t="shared" si="1"/>
        <v>karan</v>
      </c>
      <c r="L37" t="str">
        <f t="shared" si="2"/>
        <v>company.com</v>
      </c>
      <c r="M37" s="11" t="s">
        <v>115</v>
      </c>
      <c r="N37" s="2" t="s">
        <v>106</v>
      </c>
      <c r="O37" t="s">
        <v>18</v>
      </c>
      <c r="P37">
        <v>433948</v>
      </c>
      <c r="V37" t="s">
        <v>14</v>
      </c>
      <c r="W37">
        <v>1</v>
      </c>
    </row>
    <row r="38" spans="1:24" hidden="1" x14ac:dyDescent="0.3">
      <c r="A38">
        <v>29</v>
      </c>
      <c r="B38">
        <v>37</v>
      </c>
      <c r="C38" t="s">
        <v>75</v>
      </c>
      <c r="D38" t="s">
        <v>92</v>
      </c>
      <c r="E38" t="s">
        <v>27</v>
      </c>
      <c r="F38">
        <v>26</v>
      </c>
      <c r="G38" s="6">
        <v>82132</v>
      </c>
      <c r="H38">
        <v>11</v>
      </c>
      <c r="I38" t="str" cm="1">
        <f t="array" ref="I38">_xlfn.IFS(AND(E38="Analyst",H38&gt;9),"Grade A", AND(E38="Analyst",H38&gt;6),"Grade B",AND(E38="Analyst",H38&lt;=6),"Grade C",E38&lt;&gt;"Analyst","Not an Analyst")</f>
        <v>Not an Analyst</v>
      </c>
      <c r="J38" t="s">
        <v>56</v>
      </c>
      <c r="K38" t="str">
        <f t="shared" si="1"/>
        <v>amit</v>
      </c>
      <c r="L38" t="str">
        <f t="shared" si="2"/>
        <v>company.com</v>
      </c>
      <c r="M38" s="11" t="s">
        <v>117</v>
      </c>
      <c r="N38" s="2" t="s">
        <v>108</v>
      </c>
      <c r="O38" t="s">
        <v>31</v>
      </c>
      <c r="P38">
        <v>430182</v>
      </c>
      <c r="V38" t="s">
        <v>27</v>
      </c>
      <c r="W38">
        <v>4</v>
      </c>
    </row>
    <row r="39" spans="1:24" hidden="1" x14ac:dyDescent="0.3">
      <c r="A39">
        <v>31</v>
      </c>
      <c r="B39">
        <v>38</v>
      </c>
      <c r="C39" t="s">
        <v>25</v>
      </c>
      <c r="D39" t="s">
        <v>20</v>
      </c>
      <c r="E39" t="s">
        <v>39</v>
      </c>
      <c r="F39">
        <v>40</v>
      </c>
      <c r="G39" s="6">
        <v>33816</v>
      </c>
      <c r="H39">
        <v>7</v>
      </c>
      <c r="I39" t="str" cm="1">
        <f t="array" ref="I39">_xlfn.IFS(AND(E39="Analyst",H39&gt;9),"Grade A", AND(E39="Analyst",H39&gt;6),"Grade B",AND(E39="Analyst",H39&lt;=6),"Grade C",E39&lt;&gt;"Analyst","Not an Analyst")</f>
        <v>Grade B</v>
      </c>
      <c r="J39" t="s">
        <v>28</v>
      </c>
      <c r="K39" t="str">
        <f t="shared" si="1"/>
        <v>rahul</v>
      </c>
      <c r="L39" t="str">
        <f t="shared" si="2"/>
        <v>company.com</v>
      </c>
      <c r="M39" s="11" t="s">
        <v>120</v>
      </c>
      <c r="N39" s="2" t="s">
        <v>114</v>
      </c>
      <c r="O39" t="s">
        <v>18</v>
      </c>
      <c r="P39">
        <v>486533</v>
      </c>
      <c r="V39" t="s">
        <v>21</v>
      </c>
      <c r="W39">
        <v>0</v>
      </c>
    </row>
    <row r="40" spans="1:24" hidden="1" x14ac:dyDescent="0.3">
      <c r="A40">
        <v>32</v>
      </c>
      <c r="B40">
        <v>39</v>
      </c>
      <c r="C40" t="s">
        <v>102</v>
      </c>
      <c r="D40" t="s">
        <v>33</v>
      </c>
      <c r="E40" t="s">
        <v>21</v>
      </c>
      <c r="F40">
        <v>21</v>
      </c>
      <c r="G40" s="6">
        <v>0</v>
      </c>
      <c r="H40">
        <v>5</v>
      </c>
      <c r="I40" t="str" cm="1">
        <f t="array" ref="I40">_xlfn.IFS(AND(E40="Analyst",H40&gt;9),"Grade A", AND(E40="Analyst",H40&gt;6),"Grade B",AND(E40="Analyst",H40&lt;=6),"Grade C",E40&lt;&gt;"Analyst","Not an Analyst")</f>
        <v>Not an Analyst</v>
      </c>
      <c r="J40" t="s">
        <v>93</v>
      </c>
      <c r="K40" t="str">
        <f t="shared" si="1"/>
        <v>priya</v>
      </c>
      <c r="L40" t="str">
        <f t="shared" si="2"/>
        <v>company.com</v>
      </c>
      <c r="M40" s="11" t="s">
        <v>123</v>
      </c>
      <c r="N40" s="2" t="s">
        <v>116</v>
      </c>
      <c r="O40" t="s">
        <v>31</v>
      </c>
      <c r="P40">
        <v>193652</v>
      </c>
      <c r="V40" t="s">
        <v>27</v>
      </c>
      <c r="W40">
        <v>1</v>
      </c>
    </row>
    <row r="41" spans="1:24" hidden="1" x14ac:dyDescent="0.3">
      <c r="A41">
        <v>33</v>
      </c>
      <c r="B41">
        <v>40</v>
      </c>
      <c r="C41" t="s">
        <v>50</v>
      </c>
      <c r="D41" t="s">
        <v>20</v>
      </c>
      <c r="E41" t="s">
        <v>39</v>
      </c>
      <c r="F41">
        <v>0</v>
      </c>
      <c r="G41" s="6">
        <v>34847</v>
      </c>
      <c r="H41">
        <v>10</v>
      </c>
      <c r="I41" t="str" cm="1">
        <f t="array" ref="I41">_xlfn.IFS(AND(E41="Analyst",H41&gt;9),"Grade A", AND(E41="Analyst",H41&gt;6),"Grade B",AND(E41="Analyst",H41&lt;=6),"Grade C",E41&lt;&gt;"Analyst","Not an Analyst")</f>
        <v>Grade A</v>
      </c>
      <c r="J41" t="s">
        <v>51</v>
      </c>
      <c r="K41" t="str">
        <f t="shared" si="1"/>
        <v>sneha</v>
      </c>
      <c r="L41" t="str">
        <f t="shared" si="2"/>
        <v>company.com</v>
      </c>
      <c r="M41" s="11" t="s">
        <v>126</v>
      </c>
      <c r="N41" s="2" t="s">
        <v>118</v>
      </c>
      <c r="O41" t="s">
        <v>18</v>
      </c>
      <c r="P41">
        <v>36245</v>
      </c>
      <c r="V41" t="s">
        <v>21</v>
      </c>
      <c r="W41">
        <v>0</v>
      </c>
    </row>
    <row r="42" spans="1:24" x14ac:dyDescent="0.3">
      <c r="A42">
        <v>34</v>
      </c>
      <c r="B42">
        <v>41</v>
      </c>
      <c r="C42" t="s">
        <v>119</v>
      </c>
      <c r="D42" t="s">
        <v>13</v>
      </c>
      <c r="E42" t="s">
        <v>27</v>
      </c>
      <c r="F42">
        <v>46</v>
      </c>
      <c r="G42" s="6">
        <v>50000</v>
      </c>
      <c r="H42">
        <v>0</v>
      </c>
      <c r="I42" t="str" cm="1">
        <f t="array" ref="I42">_xlfn.IFS(H42&gt;=9,"Grade A", H42&gt;=5, "Grade B",H42&lt;=4, "Grade C")</f>
        <v>Grade C</v>
      </c>
      <c r="J42" t="s">
        <v>97</v>
      </c>
      <c r="K42" t="str">
        <f t="shared" si="1"/>
        <v>anjali</v>
      </c>
      <c r="L42" t="str">
        <f t="shared" si="2"/>
        <v>company.com</v>
      </c>
      <c r="M42" s="11" t="s">
        <v>128</v>
      </c>
      <c r="N42" s="2" t="s">
        <v>121</v>
      </c>
      <c r="O42" t="s">
        <v>18</v>
      </c>
      <c r="P42">
        <v>393525</v>
      </c>
      <c r="V42" s="15" t="s">
        <v>39</v>
      </c>
      <c r="W42" s="15">
        <v>9</v>
      </c>
      <c r="X42" s="15" t="str" cm="1">
        <f t="array" ref="X42">_xlfn.IFS(W42&gt;=9,"Grade A", W42&gt;=5,"Grade B", W42&lt;=4,"Grade C")</f>
        <v>Grade A</v>
      </c>
    </row>
    <row r="43" spans="1:24" hidden="1" x14ac:dyDescent="0.3">
      <c r="A43">
        <v>35</v>
      </c>
      <c r="B43">
        <v>42</v>
      </c>
      <c r="C43" t="s">
        <v>261</v>
      </c>
      <c r="D43" t="s">
        <v>20</v>
      </c>
      <c r="E43" t="s">
        <v>27</v>
      </c>
      <c r="F43">
        <v>23</v>
      </c>
      <c r="G43" s="6">
        <v>91874</v>
      </c>
      <c r="H43">
        <v>8</v>
      </c>
      <c r="I43" t="str" cm="1">
        <f t="array" ref="I43">_xlfn.IFS(AND(E43="Analyst",H43&gt;9),"Grade A", AND(E43="Analyst",H43&gt;6),"Grade B",AND(E43="Analyst",H43&lt;=6),"Grade C",E43&lt;&gt;"Analyst","Not an Analyst")</f>
        <v>Not an Analyst</v>
      </c>
      <c r="J43" t="s">
        <v>22</v>
      </c>
      <c r="K43" t="str">
        <f t="shared" si="1"/>
        <v>rohit</v>
      </c>
      <c r="L43" t="str">
        <f t="shared" si="2"/>
        <v>company.com</v>
      </c>
      <c r="M43" s="11" t="s">
        <v>130</v>
      </c>
      <c r="N43" s="2" t="s">
        <v>124</v>
      </c>
      <c r="O43" t="s">
        <v>18</v>
      </c>
      <c r="P43">
        <v>59098</v>
      </c>
      <c r="V43" t="s">
        <v>27</v>
      </c>
      <c r="W43">
        <v>2</v>
      </c>
    </row>
    <row r="44" spans="1:24" hidden="1" x14ac:dyDescent="0.3">
      <c r="A44">
        <v>36</v>
      </c>
      <c r="B44">
        <v>43</v>
      </c>
      <c r="C44" t="s">
        <v>268</v>
      </c>
      <c r="D44" t="s">
        <v>92</v>
      </c>
      <c r="E44" t="s">
        <v>14</v>
      </c>
      <c r="F44">
        <v>34</v>
      </c>
      <c r="G44" s="6">
        <v>35381</v>
      </c>
      <c r="H44">
        <v>1</v>
      </c>
      <c r="I44" t="str" cm="1">
        <f t="array" ref="I44">_xlfn.IFS(AND(E44="Analyst",H44&gt;9),"Grade A", AND(E44="Analyst",H44&gt;6),"Grade B",AND(E44="Analyst",H44&lt;=6),"Grade C",E44&lt;&gt;"Analyst","Not an Analyst")</f>
        <v>Not an Analyst</v>
      </c>
      <c r="J44" t="s">
        <v>22</v>
      </c>
      <c r="K44" t="str">
        <f t="shared" si="1"/>
        <v>rohit</v>
      </c>
      <c r="L44" t="str">
        <f t="shared" si="2"/>
        <v>company.com</v>
      </c>
      <c r="M44" s="11" t="s">
        <v>135</v>
      </c>
      <c r="N44" s="2" t="s">
        <v>125</v>
      </c>
      <c r="O44" t="s">
        <v>18</v>
      </c>
      <c r="P44">
        <v>58372</v>
      </c>
      <c r="V44" t="s">
        <v>82</v>
      </c>
      <c r="W44">
        <v>7</v>
      </c>
    </row>
    <row r="45" spans="1:24" hidden="1" x14ac:dyDescent="0.3">
      <c r="A45">
        <v>37</v>
      </c>
      <c r="B45">
        <v>44</v>
      </c>
      <c r="C45" t="s">
        <v>32</v>
      </c>
      <c r="D45" t="s">
        <v>33</v>
      </c>
      <c r="E45" t="s">
        <v>21</v>
      </c>
      <c r="F45">
        <v>33</v>
      </c>
      <c r="G45" s="6">
        <v>53894</v>
      </c>
      <c r="H45">
        <v>12</v>
      </c>
      <c r="I45" t="str" cm="1">
        <f t="array" ref="I45">_xlfn.IFS(AND(E45="Analyst",H45&gt;9),"Grade A", AND(E45="Analyst",H45&gt;6),"Grade B",AND(E45="Analyst",H45&lt;=6),"Grade C",E45&lt;&gt;"Analyst","Not an Analyst")</f>
        <v>Not an Analyst</v>
      </c>
      <c r="J45" t="s">
        <v>34</v>
      </c>
      <c r="K45" t="str">
        <f t="shared" si="1"/>
        <v>karan</v>
      </c>
      <c r="L45" t="str">
        <f t="shared" si="2"/>
        <v>company.com</v>
      </c>
      <c r="M45" s="11" t="s">
        <v>137</v>
      </c>
      <c r="N45" s="2" t="s">
        <v>127</v>
      </c>
      <c r="O45" t="s">
        <v>31</v>
      </c>
      <c r="P45">
        <v>254566</v>
      </c>
      <c r="V45" t="s">
        <v>21</v>
      </c>
      <c r="W45">
        <v>4</v>
      </c>
    </row>
    <row r="46" spans="1:24" hidden="1" x14ac:dyDescent="0.3">
      <c r="A46">
        <v>38</v>
      </c>
      <c r="B46">
        <v>45</v>
      </c>
      <c r="C46" t="s">
        <v>45</v>
      </c>
      <c r="D46" t="s">
        <v>20</v>
      </c>
      <c r="E46" t="s">
        <v>27</v>
      </c>
      <c r="F46">
        <v>33</v>
      </c>
      <c r="G46" s="6">
        <v>65606</v>
      </c>
      <c r="H46">
        <v>2</v>
      </c>
      <c r="I46" t="str" cm="1">
        <f t="array" ref="I46">_xlfn.IFS(AND(E46="Analyst",H46&gt;9),"Grade A", AND(E46="Analyst",H46&gt;6),"Grade B",AND(E46="Analyst",H46&lt;=6),"Grade C",E46&lt;&gt;"Analyst","Not an Analyst")</f>
        <v>Not an Analyst</v>
      </c>
      <c r="J46" t="s">
        <v>47</v>
      </c>
      <c r="K46" t="str">
        <f t="shared" si="1"/>
        <v>vikram</v>
      </c>
      <c r="L46" t="str">
        <f t="shared" si="2"/>
        <v>company.com</v>
      </c>
      <c r="M46" s="11" t="s">
        <v>139</v>
      </c>
      <c r="N46" s="2" t="s">
        <v>129</v>
      </c>
      <c r="O46" t="s">
        <v>18</v>
      </c>
      <c r="P46">
        <v>208021</v>
      </c>
      <c r="V46" t="s">
        <v>14</v>
      </c>
      <c r="W46">
        <v>10</v>
      </c>
    </row>
    <row r="47" spans="1:24" hidden="1" x14ac:dyDescent="0.3">
      <c r="A47">
        <v>39</v>
      </c>
      <c r="B47">
        <v>46</v>
      </c>
      <c r="C47" t="s">
        <v>32</v>
      </c>
      <c r="D47" t="s">
        <v>92</v>
      </c>
      <c r="E47" t="s">
        <v>39</v>
      </c>
      <c r="F47">
        <v>37</v>
      </c>
      <c r="G47" s="6">
        <v>36946</v>
      </c>
      <c r="H47">
        <v>6</v>
      </c>
      <c r="I47" t="str" cm="1">
        <f t="array" ref="I47">_xlfn.IFS(AND(E47="Analyst",H47&gt;9),"Grade A", AND(E47="Analyst",H47&gt;6),"Grade B",AND(E47="Analyst",H47&lt;=6),"Grade C",E47&lt;&gt;"Analyst","Not an Analyst")</f>
        <v>Grade C</v>
      </c>
      <c r="J47" t="s">
        <v>34</v>
      </c>
      <c r="K47" t="str">
        <f t="shared" si="1"/>
        <v>karan</v>
      </c>
      <c r="L47" t="str">
        <f t="shared" si="2"/>
        <v>company.com</v>
      </c>
      <c r="M47" s="11" t="s">
        <v>141</v>
      </c>
      <c r="N47" s="2" t="s">
        <v>131</v>
      </c>
      <c r="O47" t="s">
        <v>18</v>
      </c>
      <c r="P47">
        <v>273328</v>
      </c>
      <c r="V47" t="s">
        <v>14</v>
      </c>
      <c r="W47">
        <v>3</v>
      </c>
    </row>
    <row r="48" spans="1:24" hidden="1" x14ac:dyDescent="0.3">
      <c r="A48">
        <v>41</v>
      </c>
      <c r="B48">
        <v>47</v>
      </c>
      <c r="C48" t="s">
        <v>19</v>
      </c>
      <c r="D48" t="s">
        <v>26</v>
      </c>
      <c r="E48" t="s">
        <v>39</v>
      </c>
      <c r="F48">
        <v>27</v>
      </c>
      <c r="G48" s="6">
        <v>45156</v>
      </c>
      <c r="H48">
        <v>0</v>
      </c>
      <c r="I48" t="str" cm="1">
        <f t="array" ref="I48">_xlfn.IFS(AND(E48="Analyst",H48&gt;9),"Grade A", AND(E48="Analyst",H48&gt;6),"Grade B",AND(E48="Analyst",H48&lt;=6),"Grade C",E48&lt;&gt;"Analyst","Not an Analyst")</f>
        <v>Grade C</v>
      </c>
      <c r="J48" t="s">
        <v>22</v>
      </c>
      <c r="K48" t="str">
        <f t="shared" si="1"/>
        <v>rohit</v>
      </c>
      <c r="L48" t="str">
        <f t="shared" si="2"/>
        <v>company.com</v>
      </c>
      <c r="M48" s="11" t="s">
        <v>144</v>
      </c>
      <c r="N48" s="2" t="s">
        <v>136</v>
      </c>
      <c r="O48" t="s">
        <v>31</v>
      </c>
      <c r="P48">
        <v>154896</v>
      </c>
      <c r="V48" t="s">
        <v>21</v>
      </c>
      <c r="W48">
        <v>6</v>
      </c>
    </row>
    <row r="49" spans="1:24" hidden="1" x14ac:dyDescent="0.3">
      <c r="A49">
        <v>42</v>
      </c>
      <c r="B49">
        <v>48</v>
      </c>
      <c r="C49" t="s">
        <v>75</v>
      </c>
      <c r="D49" t="s">
        <v>20</v>
      </c>
      <c r="E49" t="s">
        <v>82</v>
      </c>
      <c r="F49">
        <v>50</v>
      </c>
      <c r="G49" s="6">
        <v>45922</v>
      </c>
      <c r="H49">
        <v>13</v>
      </c>
      <c r="I49" t="str" cm="1">
        <f t="array" ref="I49">_xlfn.IFS(AND(E49="Analyst",H49&gt;9),"Grade A", AND(E49="Analyst",H49&gt;6),"Grade B",AND(E49="Analyst",H49&lt;=6),"Grade C",E49&lt;&gt;"Analyst","Not an Analyst")</f>
        <v>Not an Analyst</v>
      </c>
      <c r="J49" t="s">
        <v>56</v>
      </c>
      <c r="K49" t="str">
        <f t="shared" si="1"/>
        <v>amit</v>
      </c>
      <c r="L49" t="str">
        <f t="shared" si="2"/>
        <v>company.com</v>
      </c>
      <c r="M49" s="11" t="s">
        <v>146</v>
      </c>
      <c r="N49" s="2" t="s">
        <v>138</v>
      </c>
      <c r="O49" t="s">
        <v>18</v>
      </c>
      <c r="P49">
        <v>143566</v>
      </c>
      <c r="V49" t="s">
        <v>82</v>
      </c>
      <c r="W49">
        <v>13</v>
      </c>
    </row>
    <row r="50" spans="1:24" hidden="1" x14ac:dyDescent="0.3">
      <c r="A50">
        <v>43</v>
      </c>
      <c r="B50">
        <v>49</v>
      </c>
      <c r="C50" t="s">
        <v>102</v>
      </c>
      <c r="D50" t="s">
        <v>26</v>
      </c>
      <c r="E50" t="s">
        <v>39</v>
      </c>
      <c r="F50">
        <v>20</v>
      </c>
      <c r="G50" s="6">
        <v>40675</v>
      </c>
      <c r="H50">
        <v>11</v>
      </c>
      <c r="I50" t="str" cm="1">
        <f t="array" ref="I50">_xlfn.IFS(AND(E50="Analyst",H50&gt;9),"Grade A", AND(E50="Analyst",H50&gt;6),"Grade B",AND(E50="Analyst",H50&lt;=6),"Grade C",E50&lt;&gt;"Analyst","Not an Analyst")</f>
        <v>Grade A</v>
      </c>
      <c r="J50" t="s">
        <v>93</v>
      </c>
      <c r="K50" t="str">
        <f t="shared" si="1"/>
        <v>priya</v>
      </c>
      <c r="L50" t="str">
        <f t="shared" si="2"/>
        <v>company.com</v>
      </c>
      <c r="M50" s="11" t="s">
        <v>149</v>
      </c>
      <c r="N50" s="2" t="s">
        <v>140</v>
      </c>
      <c r="O50" t="s">
        <v>18</v>
      </c>
      <c r="P50">
        <v>98891</v>
      </c>
      <c r="V50" t="s">
        <v>21</v>
      </c>
      <c r="W50">
        <v>12</v>
      </c>
    </row>
    <row r="51" spans="1:24" hidden="1" x14ac:dyDescent="0.3">
      <c r="A51">
        <v>44</v>
      </c>
      <c r="B51">
        <v>50</v>
      </c>
      <c r="C51" t="s">
        <v>25</v>
      </c>
      <c r="D51" t="s">
        <v>26</v>
      </c>
      <c r="E51" t="s">
        <v>14</v>
      </c>
      <c r="F51">
        <v>0</v>
      </c>
      <c r="G51" s="6">
        <v>24196</v>
      </c>
      <c r="H51">
        <v>4</v>
      </c>
      <c r="I51" t="str" cm="1">
        <f t="array" ref="I51">_xlfn.IFS(AND(E51="Analyst",H51&gt;9),"Grade A", AND(E51="Analyst",H51&gt;6),"Grade B",AND(E51="Analyst",H51&lt;=6),"Grade C",E51&lt;&gt;"Analyst","Not an Analyst")</f>
        <v>Not an Analyst</v>
      </c>
      <c r="J51" t="s">
        <v>28</v>
      </c>
      <c r="K51" t="str">
        <f t="shared" si="1"/>
        <v>rahul</v>
      </c>
      <c r="L51" t="str">
        <f t="shared" si="2"/>
        <v>company.com</v>
      </c>
      <c r="M51" s="11" t="s">
        <v>151</v>
      </c>
      <c r="N51" s="2" t="s">
        <v>142</v>
      </c>
      <c r="O51" t="s">
        <v>18</v>
      </c>
      <c r="P51">
        <v>478287</v>
      </c>
      <c r="V51" t="s">
        <v>82</v>
      </c>
      <c r="W51">
        <v>11</v>
      </c>
    </row>
    <row r="52" spans="1:24" x14ac:dyDescent="0.3">
      <c r="A52">
        <v>45</v>
      </c>
      <c r="B52">
        <v>51</v>
      </c>
      <c r="C52" t="s">
        <v>260</v>
      </c>
      <c r="D52" t="s">
        <v>268</v>
      </c>
      <c r="E52" t="s">
        <v>21</v>
      </c>
      <c r="F52">
        <v>27</v>
      </c>
      <c r="G52" s="6">
        <v>95185</v>
      </c>
      <c r="H52">
        <v>14</v>
      </c>
      <c r="I52" t="str" cm="1">
        <f t="array" ref="I52">_xlfn.IFS(H52&gt;=9,"Grade A", H52&gt;=5, "Grade B",H52&lt;=4, "Grade C")</f>
        <v>Grade A</v>
      </c>
      <c r="J52" t="s">
        <v>28</v>
      </c>
      <c r="K52" t="str">
        <f t="shared" si="1"/>
        <v>rahul</v>
      </c>
      <c r="L52" t="str">
        <f t="shared" si="2"/>
        <v>company.com</v>
      </c>
      <c r="M52" s="11" t="s">
        <v>155</v>
      </c>
      <c r="N52" s="2" t="s">
        <v>143</v>
      </c>
      <c r="O52" t="s">
        <v>31</v>
      </c>
      <c r="P52">
        <v>32182</v>
      </c>
      <c r="V52" s="15" t="s">
        <v>39</v>
      </c>
      <c r="W52" s="15">
        <v>15</v>
      </c>
      <c r="X52" s="15" t="str" cm="1">
        <f t="array" ref="X52">_xlfn.IFS(W52&gt;=9,"Grade A", W52&gt;=5,"Grade B", W52&lt;=4,"Grade C")</f>
        <v>Grade A</v>
      </c>
    </row>
    <row r="53" spans="1:24" hidden="1" x14ac:dyDescent="0.3">
      <c r="A53">
        <v>46</v>
      </c>
      <c r="B53">
        <v>52</v>
      </c>
      <c r="C53" t="s">
        <v>59</v>
      </c>
      <c r="D53" t="s">
        <v>92</v>
      </c>
      <c r="E53" t="s">
        <v>21</v>
      </c>
      <c r="F53">
        <v>21</v>
      </c>
      <c r="G53" s="6">
        <v>26980</v>
      </c>
      <c r="H53">
        <v>8</v>
      </c>
      <c r="I53" t="str" cm="1">
        <f t="array" ref="I53">_xlfn.IFS(AND(E53="Analyst",H53&gt;9),"Grade A", AND(E53="Analyst",H53&gt;6),"Grade B",AND(E53="Analyst",H53&lt;=6),"Grade C",E53&lt;&gt;"Analyst","Not an Analyst")</f>
        <v>Not an Analyst</v>
      </c>
      <c r="J53" t="s">
        <v>60</v>
      </c>
      <c r="K53" t="str">
        <f t="shared" si="1"/>
        <v>pooja</v>
      </c>
      <c r="L53" t="str">
        <f t="shared" si="2"/>
        <v>company.com</v>
      </c>
      <c r="M53" s="11" t="s">
        <v>157</v>
      </c>
      <c r="N53" s="2" t="s">
        <v>145</v>
      </c>
      <c r="O53" t="s">
        <v>18</v>
      </c>
      <c r="P53">
        <v>392501</v>
      </c>
      <c r="V53" t="s">
        <v>27</v>
      </c>
      <c r="W53">
        <v>15</v>
      </c>
    </row>
    <row r="54" spans="1:24" x14ac:dyDescent="0.3">
      <c r="A54">
        <v>47</v>
      </c>
      <c r="B54">
        <v>53</v>
      </c>
      <c r="C54" t="s">
        <v>59</v>
      </c>
      <c r="D54" t="s">
        <v>13</v>
      </c>
      <c r="E54" t="s">
        <v>21</v>
      </c>
      <c r="F54">
        <v>47</v>
      </c>
      <c r="G54" s="6">
        <v>69301</v>
      </c>
      <c r="H54">
        <v>4</v>
      </c>
      <c r="I54" t="str" cm="1">
        <f t="array" ref="I54">_xlfn.IFS(H54&gt;=9,"Grade A", H54&gt;=5, "Grade B",H54&lt;=4, "Grade C")</f>
        <v>Grade C</v>
      </c>
      <c r="J54" t="s">
        <v>60</v>
      </c>
      <c r="K54" t="str">
        <f t="shared" si="1"/>
        <v>pooja</v>
      </c>
      <c r="L54" t="str">
        <f t="shared" si="2"/>
        <v>company.com</v>
      </c>
      <c r="M54" s="11" t="s">
        <v>159</v>
      </c>
      <c r="N54" s="2" t="s">
        <v>147</v>
      </c>
      <c r="O54" t="s">
        <v>31</v>
      </c>
      <c r="P54">
        <v>355525</v>
      </c>
      <c r="V54" s="15" t="s">
        <v>39</v>
      </c>
      <c r="W54" s="15">
        <v>13</v>
      </c>
      <c r="X54" s="15" t="str" cm="1">
        <f t="array" ref="X54">_xlfn.IFS(W54&gt;=9,"Grade A", W54&gt;=5,"Grade B", W54&lt;=4,"Grade C")</f>
        <v>Grade A</v>
      </c>
    </row>
    <row r="55" spans="1:24" x14ac:dyDescent="0.3">
      <c r="A55">
        <v>48</v>
      </c>
      <c r="B55">
        <v>54</v>
      </c>
      <c r="C55" t="s">
        <v>268</v>
      </c>
      <c r="D55" t="s">
        <v>92</v>
      </c>
      <c r="E55" t="s">
        <v>39</v>
      </c>
      <c r="F55">
        <v>23</v>
      </c>
      <c r="G55" s="6">
        <v>0</v>
      </c>
      <c r="H55">
        <v>2</v>
      </c>
      <c r="I55" t="str" cm="1">
        <f t="array" ref="I55">_xlfn.IFS(H55&gt;=9,"Grade A", H55&gt;=5, "Grade B",H55&lt;=4, "Grade C")</f>
        <v>Grade C</v>
      </c>
      <c r="J55" t="s">
        <v>51</v>
      </c>
      <c r="K55" t="str">
        <f t="shared" si="1"/>
        <v>sneha</v>
      </c>
      <c r="L55" t="str">
        <f t="shared" si="2"/>
        <v>company.com</v>
      </c>
      <c r="M55" s="11" t="s">
        <v>164</v>
      </c>
      <c r="N55" s="2" t="s">
        <v>150</v>
      </c>
      <c r="O55" t="s">
        <v>18</v>
      </c>
      <c r="P55">
        <v>19735</v>
      </c>
      <c r="V55" s="15" t="s">
        <v>39</v>
      </c>
      <c r="W55" s="15">
        <v>10</v>
      </c>
      <c r="X55" s="15" t="str" cm="1">
        <f t="array" ref="X55">_xlfn.IFS(W55&gt;=9,"Grade A", W55&gt;=5,"Grade B", W55&lt;=4,"Grade C")</f>
        <v>Grade A</v>
      </c>
    </row>
    <row r="56" spans="1:24" hidden="1" x14ac:dyDescent="0.3">
      <c r="A56">
        <v>49</v>
      </c>
      <c r="B56">
        <v>55</v>
      </c>
      <c r="C56" t="s">
        <v>119</v>
      </c>
      <c r="D56" t="s">
        <v>20</v>
      </c>
      <c r="E56" t="s">
        <v>82</v>
      </c>
      <c r="F56">
        <v>41</v>
      </c>
      <c r="G56" s="6">
        <v>85658</v>
      </c>
      <c r="H56">
        <v>4</v>
      </c>
      <c r="I56" t="str" cm="1">
        <f t="array" ref="I56">_xlfn.IFS(AND(E56="Analyst",H56&gt;9),"Grade A", AND(E56="Analyst",H56&gt;6),"Grade B",AND(E56="Analyst",H56&lt;=6),"Grade C",E56&lt;&gt;"Analyst","Not an Analyst")</f>
        <v>Not an Analyst</v>
      </c>
      <c r="J56" t="s">
        <v>97</v>
      </c>
      <c r="K56" t="str">
        <f t="shared" si="1"/>
        <v>anjali</v>
      </c>
      <c r="L56" t="str">
        <f t="shared" si="2"/>
        <v>company.com</v>
      </c>
      <c r="M56" s="11" t="s">
        <v>166</v>
      </c>
      <c r="N56" s="2" t="s">
        <v>152</v>
      </c>
      <c r="O56" t="s">
        <v>31</v>
      </c>
      <c r="P56">
        <v>170482</v>
      </c>
      <c r="V56" t="s">
        <v>27</v>
      </c>
      <c r="W56">
        <v>1</v>
      </c>
    </row>
    <row r="57" spans="1:24" hidden="1" x14ac:dyDescent="0.3">
      <c r="A57">
        <v>51</v>
      </c>
      <c r="B57">
        <v>56</v>
      </c>
      <c r="C57" t="s">
        <v>32</v>
      </c>
      <c r="D57" t="s">
        <v>92</v>
      </c>
      <c r="E57" t="s">
        <v>21</v>
      </c>
      <c r="F57">
        <v>28</v>
      </c>
      <c r="G57" s="6">
        <v>40472</v>
      </c>
      <c r="H57">
        <v>3</v>
      </c>
      <c r="I57" t="str" cm="1">
        <f t="array" ref="I57">_xlfn.IFS(AND(E57="Analyst",H57&gt;9),"Grade A", AND(E57="Analyst",H57&gt;6),"Grade B",AND(E57="Analyst",H57&lt;=6),"Grade C",E57&lt;&gt;"Analyst","Not an Analyst")</f>
        <v>Not an Analyst</v>
      </c>
      <c r="J57" t="s">
        <v>34</v>
      </c>
      <c r="K57" t="str">
        <f t="shared" si="1"/>
        <v>karan</v>
      </c>
      <c r="L57" t="str">
        <f t="shared" si="2"/>
        <v>company.com</v>
      </c>
      <c r="M57" s="11" t="s">
        <v>168</v>
      </c>
      <c r="N57" s="2" t="s">
        <v>156</v>
      </c>
      <c r="O57" t="s">
        <v>31</v>
      </c>
      <c r="P57">
        <v>96610</v>
      </c>
      <c r="V57" t="s">
        <v>14</v>
      </c>
      <c r="W57">
        <v>6</v>
      </c>
    </row>
    <row r="58" spans="1:24" hidden="1" x14ac:dyDescent="0.3">
      <c r="A58">
        <v>52</v>
      </c>
      <c r="B58">
        <v>57</v>
      </c>
      <c r="C58" t="s">
        <v>25</v>
      </c>
      <c r="D58" t="s">
        <v>13</v>
      </c>
      <c r="E58" t="s">
        <v>27</v>
      </c>
      <c r="F58">
        <v>45</v>
      </c>
      <c r="G58" s="6">
        <v>83911</v>
      </c>
      <c r="H58">
        <v>12</v>
      </c>
      <c r="I58" t="str" cm="1">
        <f t="array" ref="I58">_xlfn.IFS(AND(E58="Analyst",H58&gt;9),"Grade A", AND(E58="Analyst",H58&gt;6),"Grade B",AND(E58="Analyst",H58&lt;=6),"Grade C",E58&lt;&gt;"Analyst","Not an Analyst")</f>
        <v>Not an Analyst</v>
      </c>
      <c r="J58" t="s">
        <v>28</v>
      </c>
      <c r="K58" t="str">
        <f t="shared" si="1"/>
        <v>rahul</v>
      </c>
      <c r="L58" t="str">
        <f t="shared" si="2"/>
        <v>company.com</v>
      </c>
      <c r="M58" s="11" t="s">
        <v>170</v>
      </c>
      <c r="N58" s="2" t="s">
        <v>158</v>
      </c>
      <c r="O58" t="s">
        <v>31</v>
      </c>
      <c r="P58">
        <v>342585</v>
      </c>
      <c r="V58" t="s">
        <v>21</v>
      </c>
      <c r="W58">
        <v>8</v>
      </c>
    </row>
    <row r="59" spans="1:24" hidden="1" x14ac:dyDescent="0.3">
      <c r="A59">
        <v>53</v>
      </c>
      <c r="B59">
        <v>58</v>
      </c>
      <c r="C59" t="s">
        <v>25</v>
      </c>
      <c r="D59" t="s">
        <v>33</v>
      </c>
      <c r="E59" t="s">
        <v>14</v>
      </c>
      <c r="F59">
        <v>20</v>
      </c>
      <c r="G59" s="6">
        <v>44969</v>
      </c>
      <c r="H59">
        <v>10</v>
      </c>
      <c r="I59" t="str" cm="1">
        <f t="array" ref="I59">_xlfn.IFS(AND(E59="Analyst",H59&gt;9),"Grade A", AND(E59="Analyst",H59&gt;6),"Grade B",AND(E59="Analyst",H59&lt;=6),"Grade C",E59&lt;&gt;"Analyst","Not an Analyst")</f>
        <v>Not an Analyst</v>
      </c>
      <c r="J59" t="s">
        <v>28</v>
      </c>
      <c r="K59" t="str">
        <f t="shared" si="1"/>
        <v>rahul</v>
      </c>
      <c r="L59" t="str">
        <f t="shared" si="2"/>
        <v>company.com</v>
      </c>
      <c r="M59" s="11" t="s">
        <v>172</v>
      </c>
      <c r="N59" s="2" t="s">
        <v>160</v>
      </c>
      <c r="O59" t="s">
        <v>31</v>
      </c>
      <c r="P59">
        <v>434766</v>
      </c>
      <c r="V59" t="s">
        <v>14</v>
      </c>
      <c r="W59">
        <v>2</v>
      </c>
    </row>
    <row r="60" spans="1:24" hidden="1" x14ac:dyDescent="0.3">
      <c r="A60">
        <v>54</v>
      </c>
      <c r="B60">
        <v>59</v>
      </c>
      <c r="C60" t="s">
        <v>119</v>
      </c>
      <c r="D60" t="s">
        <v>26</v>
      </c>
      <c r="E60" t="s">
        <v>21</v>
      </c>
      <c r="F60">
        <v>28</v>
      </c>
      <c r="G60" s="6">
        <v>68058</v>
      </c>
      <c r="H60">
        <v>13</v>
      </c>
      <c r="I60" t="str" cm="1">
        <f t="array" ref="I60">_xlfn.IFS(AND(E60="Analyst",H60&gt;9),"Grade A", AND(E60="Analyst",H60&gt;6),"Grade B",AND(E60="Analyst",H60&lt;=6),"Grade C",E60&lt;&gt;"Analyst","Not an Analyst")</f>
        <v>Not an Analyst</v>
      </c>
      <c r="J60" t="s">
        <v>97</v>
      </c>
      <c r="K60" t="str">
        <f t="shared" si="1"/>
        <v>anjali</v>
      </c>
      <c r="L60" t="str">
        <f t="shared" si="2"/>
        <v>company.com</v>
      </c>
      <c r="M60" s="11" t="s">
        <v>176</v>
      </c>
      <c r="N60" s="2" t="s">
        <v>162</v>
      </c>
      <c r="O60" t="s">
        <v>18</v>
      </c>
      <c r="P60">
        <v>200131</v>
      </c>
      <c r="V60" t="s">
        <v>14</v>
      </c>
      <c r="W60">
        <v>12</v>
      </c>
    </row>
    <row r="61" spans="1:24" hidden="1" x14ac:dyDescent="0.3">
      <c r="A61">
        <v>55</v>
      </c>
      <c r="B61">
        <v>60</v>
      </c>
      <c r="C61" t="s">
        <v>265</v>
      </c>
      <c r="D61" t="s">
        <v>13</v>
      </c>
      <c r="E61" t="s">
        <v>39</v>
      </c>
      <c r="F61">
        <v>0</v>
      </c>
      <c r="G61" s="6">
        <v>63830</v>
      </c>
      <c r="H61">
        <v>0</v>
      </c>
      <c r="I61" t="str" cm="1">
        <f t="array" ref="I61">_xlfn.IFS(AND(E61="Analyst",H61&gt;9),"Grade A", AND(E61="Analyst",H61&gt;6),"Grade B",AND(E61="Analyst",H61&lt;=6),"Grade C",E61&lt;&gt;"Analyst","Not an Analyst")</f>
        <v>Grade C</v>
      </c>
      <c r="J61" t="s">
        <v>93</v>
      </c>
      <c r="K61" t="str">
        <f t="shared" si="1"/>
        <v>priya</v>
      </c>
      <c r="L61" t="str">
        <f t="shared" si="2"/>
        <v>company.com</v>
      </c>
      <c r="M61" s="11" t="s">
        <v>178</v>
      </c>
      <c r="N61" s="2" t="s">
        <v>165</v>
      </c>
      <c r="O61" t="s">
        <v>18</v>
      </c>
      <c r="P61">
        <v>60857</v>
      </c>
      <c r="V61" t="s">
        <v>14</v>
      </c>
      <c r="W61">
        <v>11</v>
      </c>
    </row>
    <row r="62" spans="1:24" x14ac:dyDescent="0.3">
      <c r="A62">
        <v>56</v>
      </c>
      <c r="B62">
        <v>61</v>
      </c>
      <c r="C62" t="s">
        <v>12</v>
      </c>
      <c r="D62" t="s">
        <v>92</v>
      </c>
      <c r="E62" t="s">
        <v>39</v>
      </c>
      <c r="F62">
        <v>49</v>
      </c>
      <c r="G62" s="6">
        <v>0</v>
      </c>
      <c r="H62">
        <v>5</v>
      </c>
      <c r="I62" t="str" cm="1">
        <f t="array" ref="I62">_xlfn.IFS(H62&gt;=9,"Grade A", H62&gt;=5, "Grade B",H62&lt;=4, "Grade C")</f>
        <v>Grade B</v>
      </c>
      <c r="J62" t="s">
        <v>15</v>
      </c>
      <c r="K62" t="str">
        <f t="shared" si="1"/>
        <v>neha</v>
      </c>
      <c r="L62" t="str">
        <f t="shared" si="2"/>
        <v>company.com</v>
      </c>
      <c r="M62" s="11" t="s">
        <v>181</v>
      </c>
      <c r="N62" s="2" t="s">
        <v>167</v>
      </c>
      <c r="O62" t="s">
        <v>31</v>
      </c>
      <c r="P62">
        <v>495327</v>
      </c>
      <c r="V62" s="15" t="s">
        <v>39</v>
      </c>
      <c r="W62" s="15">
        <v>10</v>
      </c>
      <c r="X62" s="15" t="str" cm="1">
        <f t="array" ref="X62">_xlfn.IFS(W62&gt;=9,"Grade A", W62&gt;=5,"Grade B", W62&lt;=4,"Grade C")</f>
        <v>Grade A</v>
      </c>
    </row>
    <row r="63" spans="1:24" hidden="1" x14ac:dyDescent="0.3">
      <c r="A63">
        <v>57</v>
      </c>
      <c r="B63">
        <v>62</v>
      </c>
      <c r="C63" t="s">
        <v>102</v>
      </c>
      <c r="D63" t="s">
        <v>92</v>
      </c>
      <c r="E63" t="s">
        <v>82</v>
      </c>
      <c r="F63">
        <v>54</v>
      </c>
      <c r="G63" s="6">
        <v>43617</v>
      </c>
      <c r="H63">
        <v>15</v>
      </c>
      <c r="I63" t="str" cm="1">
        <f t="array" ref="I63">_xlfn.IFS(AND(E63="Analyst",H63&gt;9),"Grade A", AND(E63="Analyst",H63&gt;6),"Grade B",AND(E63="Analyst",H63&lt;=6),"Grade C",E63&lt;&gt;"Analyst","Not an Analyst")</f>
        <v>Not an Analyst</v>
      </c>
      <c r="J63" t="s">
        <v>93</v>
      </c>
      <c r="K63" t="str">
        <f t="shared" si="1"/>
        <v>priya</v>
      </c>
      <c r="L63" t="str">
        <f t="shared" si="2"/>
        <v>company.com</v>
      </c>
      <c r="M63" s="11" t="s">
        <v>183</v>
      </c>
      <c r="N63" s="2" t="s">
        <v>169</v>
      </c>
      <c r="O63" t="s">
        <v>18</v>
      </c>
      <c r="P63">
        <v>117679</v>
      </c>
      <c r="V63" t="s">
        <v>82</v>
      </c>
      <c r="W63">
        <v>8</v>
      </c>
    </row>
    <row r="64" spans="1:24" hidden="1" x14ac:dyDescent="0.3">
      <c r="A64">
        <v>58</v>
      </c>
      <c r="B64">
        <v>63</v>
      </c>
      <c r="C64" t="s">
        <v>32</v>
      </c>
      <c r="D64" t="s">
        <v>26</v>
      </c>
      <c r="E64" t="s">
        <v>27</v>
      </c>
      <c r="F64">
        <v>27</v>
      </c>
      <c r="G64" s="6">
        <v>58405</v>
      </c>
      <c r="H64">
        <v>9</v>
      </c>
      <c r="I64" t="str" cm="1">
        <f t="array" ref="I64">_xlfn.IFS(AND(E64="Analyst",H64&gt;9),"Grade A", AND(E64="Analyst",H64&gt;6),"Grade B",AND(E64="Analyst",H64&lt;=6),"Grade C",E64&lt;&gt;"Analyst","Not an Analyst")</f>
        <v>Not an Analyst</v>
      </c>
      <c r="J64" t="s">
        <v>34</v>
      </c>
      <c r="K64" t="str">
        <f t="shared" si="1"/>
        <v>karan</v>
      </c>
      <c r="L64" t="str">
        <f t="shared" si="2"/>
        <v>company.com</v>
      </c>
      <c r="M64" s="11" t="s">
        <v>185</v>
      </c>
      <c r="N64" s="2" t="s">
        <v>171</v>
      </c>
      <c r="O64" t="s">
        <v>18</v>
      </c>
      <c r="P64">
        <v>263806</v>
      </c>
      <c r="V64" t="s">
        <v>82</v>
      </c>
      <c r="W64">
        <v>6</v>
      </c>
    </row>
    <row r="65" spans="1:24" hidden="1" x14ac:dyDescent="0.3">
      <c r="A65">
        <v>59</v>
      </c>
      <c r="B65">
        <v>64</v>
      </c>
      <c r="C65" t="s">
        <v>32</v>
      </c>
      <c r="D65" t="s">
        <v>33</v>
      </c>
      <c r="E65" t="s">
        <v>14</v>
      </c>
      <c r="F65">
        <v>31</v>
      </c>
      <c r="G65" s="6">
        <v>42829</v>
      </c>
      <c r="H65">
        <v>6</v>
      </c>
      <c r="I65" t="str" cm="1">
        <f t="array" ref="I65">_xlfn.IFS(AND(E65="Analyst",H65&gt;9),"Grade A", AND(E65="Analyst",H65&gt;6),"Grade B",AND(E65="Analyst",H65&lt;=6),"Grade C",E65&lt;&gt;"Analyst","Not an Analyst")</f>
        <v>Not an Analyst</v>
      </c>
      <c r="J65" t="s">
        <v>34</v>
      </c>
      <c r="K65" t="str">
        <f t="shared" si="1"/>
        <v>karan</v>
      </c>
      <c r="L65" t="str">
        <f t="shared" si="2"/>
        <v>company.com</v>
      </c>
      <c r="M65" s="11" t="s">
        <v>187</v>
      </c>
      <c r="N65" s="2" t="s">
        <v>173</v>
      </c>
      <c r="O65" t="s">
        <v>31</v>
      </c>
      <c r="P65">
        <v>461145</v>
      </c>
      <c r="V65" t="s">
        <v>21</v>
      </c>
      <c r="W65">
        <v>0</v>
      </c>
    </row>
    <row r="66" spans="1:24" hidden="1" x14ac:dyDescent="0.3">
      <c r="A66">
        <v>61</v>
      </c>
      <c r="B66">
        <v>65</v>
      </c>
      <c r="C66" t="s">
        <v>75</v>
      </c>
      <c r="D66" t="s">
        <v>92</v>
      </c>
      <c r="E66" t="s">
        <v>14</v>
      </c>
      <c r="F66">
        <v>38</v>
      </c>
      <c r="G66" s="6">
        <v>38321</v>
      </c>
      <c r="H66">
        <v>2</v>
      </c>
      <c r="I66" t="str" cm="1">
        <f t="array" ref="I66">_xlfn.IFS(AND(E66="Analyst",H66&gt;9),"Grade A", AND(E66="Analyst",H66&gt;6),"Grade B",AND(E66="Analyst",H66&lt;=6),"Grade C",E66&lt;&gt;"Analyst","Not an Analyst")</f>
        <v>Not an Analyst</v>
      </c>
      <c r="J66" t="s">
        <v>56</v>
      </c>
      <c r="K66" t="str">
        <f t="shared" si="1"/>
        <v>amit</v>
      </c>
      <c r="L66" t="str">
        <f t="shared" si="2"/>
        <v>company.com</v>
      </c>
      <c r="M66" s="11" t="s">
        <v>189</v>
      </c>
      <c r="N66" s="2" t="s">
        <v>177</v>
      </c>
      <c r="O66" t="s">
        <v>31</v>
      </c>
      <c r="P66">
        <v>237377</v>
      </c>
      <c r="V66" t="s">
        <v>82</v>
      </c>
      <c r="W66">
        <v>8</v>
      </c>
    </row>
    <row r="67" spans="1:24" hidden="1" x14ac:dyDescent="0.3">
      <c r="A67">
        <v>62</v>
      </c>
      <c r="B67">
        <v>66</v>
      </c>
      <c r="C67" t="s">
        <v>19</v>
      </c>
      <c r="D67" t="s">
        <v>13</v>
      </c>
      <c r="E67" t="s">
        <v>27</v>
      </c>
      <c r="F67">
        <v>41</v>
      </c>
      <c r="G67" s="6">
        <v>69961</v>
      </c>
      <c r="H67">
        <v>7</v>
      </c>
      <c r="I67" t="str" cm="1">
        <f t="array" ref="I67">_xlfn.IFS(AND(E67="Analyst",H67&gt;9),"Grade A", AND(E67="Analyst",H67&gt;6),"Grade B",AND(E67="Analyst",H67&lt;=6),"Grade C",E67&lt;&gt;"Analyst","Not an Analyst")</f>
        <v>Not an Analyst</v>
      </c>
      <c r="J67" t="s">
        <v>22</v>
      </c>
      <c r="K67" t="str">
        <f t="shared" ref="K67:K101" si="5">LEFT(J67,FIND("@",J67,1)-1)</f>
        <v>rohit</v>
      </c>
      <c r="L67" t="str">
        <f t="shared" ref="L67:L101" si="6">RIGHT(J67,LEN(J67)-FIND("@",J67,1))</f>
        <v>company.com</v>
      </c>
      <c r="M67" s="11" t="s">
        <v>191</v>
      </c>
      <c r="N67" s="2" t="s">
        <v>179</v>
      </c>
      <c r="O67" t="s">
        <v>31</v>
      </c>
      <c r="P67">
        <v>372462</v>
      </c>
      <c r="V67" t="s">
        <v>14</v>
      </c>
      <c r="W67">
        <v>9</v>
      </c>
    </row>
    <row r="68" spans="1:24" hidden="1" x14ac:dyDescent="0.3">
      <c r="A68">
        <v>63</v>
      </c>
      <c r="B68">
        <v>67</v>
      </c>
      <c r="C68" t="s">
        <v>19</v>
      </c>
      <c r="D68" t="s">
        <v>26</v>
      </c>
      <c r="E68" t="s">
        <v>21</v>
      </c>
      <c r="F68">
        <v>35</v>
      </c>
      <c r="G68" s="6">
        <v>80771</v>
      </c>
      <c r="H68">
        <v>13</v>
      </c>
      <c r="I68" t="str" cm="1">
        <f t="array" ref="I68">_xlfn.IFS(AND(E68="Analyst",H68&gt;9),"Grade A", AND(E68="Analyst",H68&gt;6),"Grade B",AND(E68="Analyst",H68&lt;=6),"Grade C",E68&lt;&gt;"Analyst","Not an Analyst")</f>
        <v>Not an Analyst</v>
      </c>
      <c r="J68" t="s">
        <v>22</v>
      </c>
      <c r="K68" t="str">
        <f t="shared" si="5"/>
        <v>rohit</v>
      </c>
      <c r="L68" t="str">
        <f t="shared" si="6"/>
        <v>company.com</v>
      </c>
      <c r="M68" s="11" t="s">
        <v>195</v>
      </c>
      <c r="N68" s="2" t="s">
        <v>180</v>
      </c>
      <c r="O68" t="s">
        <v>18</v>
      </c>
      <c r="P68">
        <v>451316</v>
      </c>
      <c r="V68" t="s">
        <v>14</v>
      </c>
      <c r="W68">
        <v>9</v>
      </c>
    </row>
    <row r="69" spans="1:24" x14ac:dyDescent="0.3">
      <c r="A69">
        <v>64</v>
      </c>
      <c r="B69">
        <v>68</v>
      </c>
      <c r="C69" t="s">
        <v>75</v>
      </c>
      <c r="D69" t="s">
        <v>92</v>
      </c>
      <c r="E69" t="s">
        <v>39</v>
      </c>
      <c r="F69">
        <v>41</v>
      </c>
      <c r="G69" s="6">
        <v>0</v>
      </c>
      <c r="H69">
        <v>4</v>
      </c>
      <c r="I69" t="str" cm="1">
        <f t="array" ref="I69">_xlfn.IFS(H69&gt;=9,"Grade A", H69&gt;=5, "Grade B",H69&lt;=4, "Grade C")</f>
        <v>Grade C</v>
      </c>
      <c r="J69" t="s">
        <v>56</v>
      </c>
      <c r="K69" t="str">
        <f t="shared" si="5"/>
        <v>amit</v>
      </c>
      <c r="L69" t="str">
        <f t="shared" si="6"/>
        <v>company.com</v>
      </c>
      <c r="M69" s="11" t="s">
        <v>198</v>
      </c>
      <c r="N69" s="2" t="s">
        <v>182</v>
      </c>
      <c r="O69" t="s">
        <v>18</v>
      </c>
      <c r="P69">
        <v>87557</v>
      </c>
      <c r="V69" s="15" t="s">
        <v>39</v>
      </c>
      <c r="W69" s="15">
        <v>10</v>
      </c>
      <c r="X69" s="15" t="str" cm="1">
        <f t="array" ref="X69">_xlfn.IFS(W69&gt;=9,"Grade A", W69&gt;=5,"Grade B", W69&lt;=4,"Grade C")</f>
        <v>Grade A</v>
      </c>
    </row>
    <row r="70" spans="1:24" x14ac:dyDescent="0.3">
      <c r="A70">
        <v>65</v>
      </c>
      <c r="B70">
        <v>69</v>
      </c>
      <c r="C70" t="s">
        <v>261</v>
      </c>
      <c r="D70" t="s">
        <v>92</v>
      </c>
      <c r="E70" t="s">
        <v>82</v>
      </c>
      <c r="F70">
        <v>22</v>
      </c>
      <c r="G70" s="6">
        <v>26614</v>
      </c>
      <c r="H70">
        <v>0</v>
      </c>
      <c r="I70" t="str" cm="1">
        <f t="array" ref="I70">_xlfn.IFS(H70&gt;=9,"Grade A", H70&gt;=5, "Grade B",H70&lt;=4, "Grade C")</f>
        <v>Grade C</v>
      </c>
      <c r="J70" t="s">
        <v>22</v>
      </c>
      <c r="K70" t="str">
        <f t="shared" si="5"/>
        <v>rohit</v>
      </c>
      <c r="L70" t="str">
        <f t="shared" si="6"/>
        <v>company.com</v>
      </c>
      <c r="M70" s="11" t="s">
        <v>200</v>
      </c>
      <c r="N70" s="2" t="s">
        <v>184</v>
      </c>
      <c r="O70" t="s">
        <v>31</v>
      </c>
      <c r="P70">
        <v>143780</v>
      </c>
      <c r="V70" s="15" t="s">
        <v>39</v>
      </c>
      <c r="W70" s="15">
        <v>11</v>
      </c>
      <c r="X70" s="15" t="str" cm="1">
        <f t="array" ref="X70">_xlfn.IFS(W70&gt;=9,"Grade A", W70&gt;=5,"Grade B", W70&lt;=4,"Grade C")</f>
        <v>Grade A</v>
      </c>
    </row>
    <row r="71" spans="1:24" hidden="1" x14ac:dyDescent="0.3">
      <c r="A71">
        <v>66</v>
      </c>
      <c r="B71">
        <v>70</v>
      </c>
      <c r="C71" t="s">
        <v>19</v>
      </c>
      <c r="D71" t="s">
        <v>92</v>
      </c>
      <c r="E71" t="s">
        <v>14</v>
      </c>
      <c r="F71">
        <v>0</v>
      </c>
      <c r="G71" s="6">
        <v>23172</v>
      </c>
      <c r="H71">
        <v>4</v>
      </c>
      <c r="I71" t="str" cm="1">
        <f t="array" ref="I71">_xlfn.IFS(AND(E71="Analyst",H71&gt;9),"Grade A", AND(E71="Analyst",H71&gt;6),"Grade B",AND(E71="Analyst",H71&lt;=6),"Grade C",E71&lt;&gt;"Analyst","Not an Analyst")</f>
        <v>Not an Analyst</v>
      </c>
      <c r="J71" t="s">
        <v>22</v>
      </c>
      <c r="K71" t="str">
        <f t="shared" si="5"/>
        <v>rohit</v>
      </c>
      <c r="L71" t="str">
        <f t="shared" si="6"/>
        <v>company.com</v>
      </c>
      <c r="M71" s="11" t="s">
        <v>202</v>
      </c>
      <c r="N71" s="2" t="s">
        <v>186</v>
      </c>
      <c r="O71" t="s">
        <v>18</v>
      </c>
      <c r="P71">
        <v>482598</v>
      </c>
      <c r="V71" t="s">
        <v>21</v>
      </c>
      <c r="W71">
        <v>13</v>
      </c>
    </row>
    <row r="72" spans="1:24" hidden="1" x14ac:dyDescent="0.3">
      <c r="A72">
        <v>67</v>
      </c>
      <c r="B72">
        <v>71</v>
      </c>
      <c r="C72" t="s">
        <v>50</v>
      </c>
      <c r="D72" t="s">
        <v>33</v>
      </c>
      <c r="E72" t="s">
        <v>14</v>
      </c>
      <c r="F72">
        <v>20</v>
      </c>
      <c r="G72" s="6">
        <v>33721</v>
      </c>
      <c r="H72">
        <v>0</v>
      </c>
      <c r="I72" t="str" cm="1">
        <f t="array" ref="I72">_xlfn.IFS(AND(E72="Analyst",H72&gt;9),"Grade A", AND(E72="Analyst",H72&gt;6),"Grade B",AND(E72="Analyst",H72&lt;=6),"Grade C",E72&lt;&gt;"Analyst","Not an Analyst")</f>
        <v>Not an Analyst</v>
      </c>
      <c r="J72" t="s">
        <v>51</v>
      </c>
      <c r="K72" t="str">
        <f t="shared" si="5"/>
        <v>sneha</v>
      </c>
      <c r="L72" t="str">
        <f t="shared" si="6"/>
        <v>company.com</v>
      </c>
      <c r="M72" s="11" t="s">
        <v>204</v>
      </c>
      <c r="N72" s="2" t="s">
        <v>188</v>
      </c>
      <c r="O72" t="s">
        <v>31</v>
      </c>
      <c r="P72">
        <v>465611</v>
      </c>
      <c r="V72" t="s">
        <v>82</v>
      </c>
      <c r="W72">
        <v>15</v>
      </c>
    </row>
    <row r="73" spans="1:24" hidden="1" x14ac:dyDescent="0.3">
      <c r="A73">
        <v>68</v>
      </c>
      <c r="B73">
        <v>72</v>
      </c>
      <c r="C73" t="s">
        <v>19</v>
      </c>
      <c r="D73" t="s">
        <v>33</v>
      </c>
      <c r="E73" t="s">
        <v>82</v>
      </c>
      <c r="F73">
        <v>32</v>
      </c>
      <c r="G73" s="6">
        <v>84322</v>
      </c>
      <c r="H73">
        <v>2</v>
      </c>
      <c r="I73" t="str" cm="1">
        <f t="array" ref="I73">_xlfn.IFS(AND(E73="Analyst",H73&gt;9),"Grade A", AND(E73="Analyst",H73&gt;6),"Grade B",AND(E73="Analyst",H73&lt;=6),"Grade C",E73&lt;&gt;"Analyst","Not an Analyst")</f>
        <v>Not an Analyst</v>
      </c>
      <c r="J73" t="s">
        <v>22</v>
      </c>
      <c r="K73" t="str">
        <f t="shared" si="5"/>
        <v>rohit</v>
      </c>
      <c r="L73" t="str">
        <f t="shared" si="6"/>
        <v>company.com</v>
      </c>
      <c r="M73" s="11" t="s">
        <v>206</v>
      </c>
      <c r="N73" s="2" t="s">
        <v>190</v>
      </c>
      <c r="O73" t="s">
        <v>18</v>
      </c>
      <c r="P73">
        <v>488328</v>
      </c>
      <c r="V73" t="s">
        <v>27</v>
      </c>
      <c r="W73">
        <v>11</v>
      </c>
    </row>
    <row r="74" spans="1:24" x14ac:dyDescent="0.3">
      <c r="A74">
        <v>69</v>
      </c>
      <c r="B74">
        <v>73</v>
      </c>
      <c r="C74" t="s">
        <v>50</v>
      </c>
      <c r="D74" t="s">
        <v>33</v>
      </c>
      <c r="E74" t="s">
        <v>27</v>
      </c>
      <c r="F74">
        <v>51</v>
      </c>
      <c r="G74" s="6">
        <v>84210</v>
      </c>
      <c r="H74">
        <v>4</v>
      </c>
      <c r="I74" t="str" cm="1">
        <f t="array" ref="I74">_xlfn.IFS(H74&gt;=9,"Grade A", H74&gt;=5, "Grade B",H74&lt;=4, "Grade C")</f>
        <v>Grade C</v>
      </c>
      <c r="J74" t="s">
        <v>51</v>
      </c>
      <c r="K74" t="str">
        <f t="shared" si="5"/>
        <v>sneha</v>
      </c>
      <c r="L74" t="str">
        <f t="shared" si="6"/>
        <v>company.com</v>
      </c>
      <c r="M74" s="11" t="s">
        <v>208</v>
      </c>
      <c r="N74" s="2" t="s">
        <v>192</v>
      </c>
      <c r="O74" t="s">
        <v>18</v>
      </c>
      <c r="P74">
        <v>154126</v>
      </c>
      <c r="V74" s="15" t="s">
        <v>39</v>
      </c>
      <c r="W74" s="15">
        <v>12</v>
      </c>
      <c r="X74" s="15" t="str" cm="1">
        <f t="array" ref="X74">_xlfn.IFS(W74&gt;=9,"Grade A", W74&gt;=5,"Grade B", W74&lt;=4,"Grade C")</f>
        <v>Grade A</v>
      </c>
    </row>
    <row r="75" spans="1:24" hidden="1" x14ac:dyDescent="0.3">
      <c r="A75">
        <v>71</v>
      </c>
      <c r="B75">
        <v>74</v>
      </c>
      <c r="C75" t="s">
        <v>50</v>
      </c>
      <c r="D75" t="s">
        <v>13</v>
      </c>
      <c r="E75" t="s">
        <v>27</v>
      </c>
      <c r="F75">
        <v>21</v>
      </c>
      <c r="G75" s="6">
        <v>55723</v>
      </c>
      <c r="H75">
        <v>14</v>
      </c>
      <c r="I75" t="str" cm="1">
        <f t="array" ref="I75">_xlfn.IFS(AND(E75="Analyst",H75&gt;9),"Grade A", AND(E75="Analyst",H75&gt;6),"Grade B",AND(E75="Analyst",H75&lt;=6),"Grade C",E75&lt;&gt;"Analyst","Not an Analyst")</f>
        <v>Not an Analyst</v>
      </c>
      <c r="J75" t="s">
        <v>51</v>
      </c>
      <c r="K75" t="str">
        <f t="shared" si="5"/>
        <v>sneha</v>
      </c>
      <c r="L75" t="str">
        <f t="shared" si="6"/>
        <v>company.com</v>
      </c>
      <c r="M75" s="11" t="s">
        <v>210</v>
      </c>
      <c r="N75" s="2" t="s">
        <v>196</v>
      </c>
      <c r="O75" t="s">
        <v>31</v>
      </c>
      <c r="P75">
        <v>430180</v>
      </c>
      <c r="V75" t="s">
        <v>21</v>
      </c>
      <c r="W75">
        <v>5</v>
      </c>
    </row>
    <row r="76" spans="1:24" x14ac:dyDescent="0.3">
      <c r="A76">
        <v>72</v>
      </c>
      <c r="B76">
        <v>75</v>
      </c>
      <c r="C76" t="s">
        <v>268</v>
      </c>
      <c r="D76" t="s">
        <v>13</v>
      </c>
      <c r="E76" t="s">
        <v>82</v>
      </c>
      <c r="F76">
        <v>46</v>
      </c>
      <c r="G76" s="6">
        <v>0</v>
      </c>
      <c r="H76">
        <v>5</v>
      </c>
      <c r="I76" t="str" cm="1">
        <f t="array" ref="I76">_xlfn.IFS(H76&gt;=9,"Grade A", H76&gt;=5, "Grade B",H76&lt;=4, "Grade C")</f>
        <v>Grade B</v>
      </c>
      <c r="J76" t="s">
        <v>34</v>
      </c>
      <c r="K76" t="str">
        <f t="shared" si="5"/>
        <v>karan</v>
      </c>
      <c r="L76" t="str">
        <f t="shared" si="6"/>
        <v>company.com</v>
      </c>
      <c r="M76" s="11" t="s">
        <v>215</v>
      </c>
      <c r="N76" s="2" t="s">
        <v>197</v>
      </c>
      <c r="O76" t="s">
        <v>31</v>
      </c>
      <c r="P76">
        <v>407043</v>
      </c>
      <c r="V76" s="15" t="s">
        <v>39</v>
      </c>
      <c r="W76" s="15">
        <v>11</v>
      </c>
      <c r="X76" s="15" t="str" cm="1">
        <f t="array" ref="X76">_xlfn.IFS(W76&gt;=9,"Grade A", W76&gt;=5,"Grade B", W76&lt;=4,"Grade C")</f>
        <v>Grade A</v>
      </c>
    </row>
    <row r="77" spans="1:24" hidden="1" x14ac:dyDescent="0.3">
      <c r="A77">
        <v>73</v>
      </c>
      <c r="B77">
        <v>76</v>
      </c>
      <c r="C77" t="s">
        <v>45</v>
      </c>
      <c r="D77" t="s">
        <v>92</v>
      </c>
      <c r="E77" t="s">
        <v>27</v>
      </c>
      <c r="F77">
        <v>49</v>
      </c>
      <c r="G77" s="6">
        <v>72840</v>
      </c>
      <c r="H77">
        <v>12</v>
      </c>
      <c r="I77" t="str" cm="1">
        <f t="array" ref="I77">_xlfn.IFS(AND(E77="Analyst",H77&gt;9),"Grade A", AND(E77="Analyst",H77&gt;6),"Grade B",AND(E77="Analyst",H77&lt;=6),"Grade C",E77&lt;&gt;"Analyst","Not an Analyst")</f>
        <v>Not an Analyst</v>
      </c>
      <c r="J77" t="s">
        <v>47</v>
      </c>
      <c r="K77" t="str">
        <f t="shared" si="5"/>
        <v>vikram</v>
      </c>
      <c r="L77" t="str">
        <f t="shared" si="6"/>
        <v>company.com</v>
      </c>
      <c r="M77" s="11" t="s">
        <v>217</v>
      </c>
      <c r="N77" s="2" t="s">
        <v>199</v>
      </c>
      <c r="O77" t="s">
        <v>18</v>
      </c>
      <c r="P77">
        <v>135888</v>
      </c>
      <c r="V77" t="s">
        <v>27</v>
      </c>
      <c r="W77">
        <v>0</v>
      </c>
    </row>
    <row r="78" spans="1:24" hidden="1" x14ac:dyDescent="0.3">
      <c r="A78">
        <v>74</v>
      </c>
      <c r="B78">
        <v>77</v>
      </c>
      <c r="C78" t="s">
        <v>12</v>
      </c>
      <c r="D78" t="s">
        <v>13</v>
      </c>
      <c r="E78" t="s">
        <v>14</v>
      </c>
      <c r="F78">
        <v>41</v>
      </c>
      <c r="G78" s="6">
        <v>89377</v>
      </c>
      <c r="H78">
        <v>11</v>
      </c>
      <c r="I78" t="str" cm="1">
        <f t="array" ref="I78">_xlfn.IFS(AND(E78="Analyst",H78&gt;9),"Grade A", AND(E78="Analyst",H78&gt;6),"Grade B",AND(E78="Analyst",H78&lt;=6),"Grade C",E78&lt;&gt;"Analyst","Not an Analyst")</f>
        <v>Not an Analyst</v>
      </c>
      <c r="J78" t="s">
        <v>15</v>
      </c>
      <c r="K78" t="str">
        <f t="shared" si="5"/>
        <v>neha</v>
      </c>
      <c r="L78" t="str">
        <f t="shared" si="6"/>
        <v>company.com</v>
      </c>
      <c r="M78" s="11" t="s">
        <v>219</v>
      </c>
      <c r="N78" s="2" t="s">
        <v>201</v>
      </c>
      <c r="O78" t="s">
        <v>18</v>
      </c>
      <c r="P78">
        <v>238881</v>
      </c>
      <c r="V78" t="s">
        <v>27</v>
      </c>
      <c r="W78">
        <v>8</v>
      </c>
    </row>
    <row r="79" spans="1:24" hidden="1" x14ac:dyDescent="0.3">
      <c r="A79">
        <v>75</v>
      </c>
      <c r="B79">
        <v>78</v>
      </c>
      <c r="C79" t="s">
        <v>260</v>
      </c>
      <c r="D79" t="s">
        <v>268</v>
      </c>
      <c r="E79" t="s">
        <v>27</v>
      </c>
      <c r="F79">
        <v>40</v>
      </c>
      <c r="G79" s="6">
        <v>68517</v>
      </c>
      <c r="H79">
        <v>15</v>
      </c>
      <c r="I79" t="str" cm="1">
        <f t="array" ref="I79">_xlfn.IFS(AND(E79="Analyst",H79&gt;9),"Grade A", AND(E79="Analyst",H79&gt;6),"Grade B",AND(E79="Analyst",H79&lt;=6),"Grade C",E79&lt;&gt;"Analyst","Not an Analyst")</f>
        <v>Not an Analyst</v>
      </c>
      <c r="J79" t="s">
        <v>28</v>
      </c>
      <c r="K79" t="str">
        <f t="shared" si="5"/>
        <v>rahul</v>
      </c>
      <c r="L79" t="str">
        <f t="shared" si="6"/>
        <v>company.com</v>
      </c>
      <c r="M79" s="11" t="s">
        <v>221</v>
      </c>
      <c r="N79" s="2" t="s">
        <v>203</v>
      </c>
      <c r="O79" t="s">
        <v>18</v>
      </c>
      <c r="P79">
        <v>287575</v>
      </c>
      <c r="V79" t="s">
        <v>14</v>
      </c>
      <c r="W79">
        <v>1</v>
      </c>
    </row>
    <row r="80" spans="1:24" hidden="1" x14ac:dyDescent="0.3">
      <c r="A80">
        <v>76</v>
      </c>
      <c r="B80">
        <v>79</v>
      </c>
      <c r="C80" t="s">
        <v>25</v>
      </c>
      <c r="D80" t="s">
        <v>13</v>
      </c>
      <c r="E80" t="s">
        <v>21</v>
      </c>
      <c r="F80">
        <v>27</v>
      </c>
      <c r="G80" s="6">
        <v>36571</v>
      </c>
      <c r="H80">
        <v>7</v>
      </c>
      <c r="I80" t="str" cm="1">
        <f t="array" ref="I80">_xlfn.IFS(AND(E80="Analyst",H80&gt;9),"Grade A", AND(E80="Analyst",H80&gt;6),"Grade B",AND(E80="Analyst",H80&lt;=6),"Grade C",E80&lt;&gt;"Analyst","Not an Analyst")</f>
        <v>Not an Analyst</v>
      </c>
      <c r="J80" t="s">
        <v>28</v>
      </c>
      <c r="K80" t="str">
        <f t="shared" si="5"/>
        <v>rahul</v>
      </c>
      <c r="L80" t="str">
        <f t="shared" si="6"/>
        <v>company.com</v>
      </c>
      <c r="M80" s="11" t="s">
        <v>223</v>
      </c>
      <c r="N80" s="2" t="s">
        <v>205</v>
      </c>
      <c r="O80" t="s">
        <v>31</v>
      </c>
      <c r="P80">
        <v>341089</v>
      </c>
      <c r="V80" t="s">
        <v>21</v>
      </c>
      <c r="W80">
        <v>12</v>
      </c>
    </row>
    <row r="81" spans="1:24" hidden="1" x14ac:dyDescent="0.3">
      <c r="A81">
        <v>77</v>
      </c>
      <c r="B81">
        <v>80</v>
      </c>
      <c r="C81" t="s">
        <v>45</v>
      </c>
      <c r="D81" t="s">
        <v>92</v>
      </c>
      <c r="E81" t="s">
        <v>39</v>
      </c>
      <c r="F81">
        <v>0</v>
      </c>
      <c r="G81" s="6">
        <v>35111</v>
      </c>
      <c r="H81">
        <v>1</v>
      </c>
      <c r="I81" t="str" cm="1">
        <f t="array" ref="I81">_xlfn.IFS(AND(E81="Analyst",H81&gt;9),"Grade A", AND(E81="Analyst",H81&gt;6),"Grade B",AND(E81="Analyst",H81&lt;=6),"Grade C",E81&lt;&gt;"Analyst","Not an Analyst")</f>
        <v>Grade C</v>
      </c>
      <c r="J81" t="s">
        <v>47</v>
      </c>
      <c r="K81" t="str">
        <f t="shared" si="5"/>
        <v>vikram</v>
      </c>
      <c r="L81" t="str">
        <f t="shared" si="6"/>
        <v>company.com</v>
      </c>
      <c r="M81" s="11" t="s">
        <v>225</v>
      </c>
      <c r="N81" s="2" t="s">
        <v>207</v>
      </c>
      <c r="O81" t="s">
        <v>31</v>
      </c>
      <c r="P81">
        <v>383715</v>
      </c>
      <c r="V81" t="s">
        <v>27</v>
      </c>
      <c r="W81">
        <v>2</v>
      </c>
    </row>
    <row r="82" spans="1:24" x14ac:dyDescent="0.3">
      <c r="A82">
        <v>78</v>
      </c>
      <c r="B82">
        <v>81</v>
      </c>
      <c r="C82" t="s">
        <v>19</v>
      </c>
      <c r="D82" t="s">
        <v>92</v>
      </c>
      <c r="E82" t="s">
        <v>82</v>
      </c>
      <c r="F82">
        <v>24</v>
      </c>
      <c r="G82" s="6">
        <v>66339</v>
      </c>
      <c r="H82">
        <v>13</v>
      </c>
      <c r="I82" t="str" cm="1">
        <f t="array" ref="I82">_xlfn.IFS(H82&gt;=9,"Grade A", H82&gt;=5, "Grade B",H82&lt;=4, "Grade C")</f>
        <v>Grade A</v>
      </c>
      <c r="J82" t="s">
        <v>22</v>
      </c>
      <c r="K82" t="str">
        <f t="shared" si="5"/>
        <v>rohit</v>
      </c>
      <c r="L82" t="str">
        <f t="shared" si="6"/>
        <v>company.com</v>
      </c>
      <c r="M82" s="11" t="s">
        <v>227</v>
      </c>
      <c r="N82" s="2" t="s">
        <v>209</v>
      </c>
      <c r="O82" t="s">
        <v>18</v>
      </c>
      <c r="P82">
        <v>102760</v>
      </c>
      <c r="V82" s="15" t="s">
        <v>39</v>
      </c>
      <c r="W82" s="15">
        <v>8</v>
      </c>
      <c r="X82" s="15" t="str" cm="1">
        <f t="array" ref="X82">_xlfn.IFS(W82&gt;=9,"Grade A", W82&gt;=5,"Grade B", W82&lt;=4,"Grade C")</f>
        <v>Grade B</v>
      </c>
    </row>
    <row r="83" spans="1:24" x14ac:dyDescent="0.3">
      <c r="A83">
        <v>79</v>
      </c>
      <c r="B83">
        <v>82</v>
      </c>
      <c r="C83" t="s">
        <v>119</v>
      </c>
      <c r="D83" t="s">
        <v>20</v>
      </c>
      <c r="E83" t="s">
        <v>21</v>
      </c>
      <c r="F83">
        <v>53</v>
      </c>
      <c r="G83" s="6">
        <v>62338</v>
      </c>
      <c r="H83">
        <v>5</v>
      </c>
      <c r="I83" t="str" cm="1">
        <f t="array" ref="I83">_xlfn.IFS(H83&gt;=9,"Grade A", H83&gt;=5, "Grade B",H83&lt;=4, "Grade C")</f>
        <v>Grade B</v>
      </c>
      <c r="J83" t="s">
        <v>97</v>
      </c>
      <c r="K83" t="str">
        <f t="shared" si="5"/>
        <v>anjali</v>
      </c>
      <c r="L83" t="str">
        <f t="shared" si="6"/>
        <v>company.com</v>
      </c>
      <c r="M83" s="11" t="s">
        <v>229</v>
      </c>
      <c r="N83" s="2" t="s">
        <v>211</v>
      </c>
      <c r="O83" t="s">
        <v>18</v>
      </c>
      <c r="P83">
        <v>435412</v>
      </c>
      <c r="V83" s="15" t="s">
        <v>39</v>
      </c>
      <c r="W83" s="15">
        <v>7</v>
      </c>
      <c r="X83" s="15" t="str" cm="1">
        <f t="array" ref="X83">_xlfn.IFS(W83&gt;=9,"Grade A", W83&gt;=5,"Grade B", W83&lt;=4,"Grade C")</f>
        <v>Grade B</v>
      </c>
    </row>
    <row r="84" spans="1:24" hidden="1" x14ac:dyDescent="0.3">
      <c r="A84">
        <v>81</v>
      </c>
      <c r="B84">
        <v>83</v>
      </c>
      <c r="C84" t="s">
        <v>12</v>
      </c>
      <c r="D84" t="s">
        <v>13</v>
      </c>
      <c r="E84" t="s">
        <v>82</v>
      </c>
      <c r="F84">
        <v>23</v>
      </c>
      <c r="G84" s="6">
        <v>72092</v>
      </c>
      <c r="H84">
        <v>5</v>
      </c>
      <c r="I84" t="str" cm="1">
        <f t="array" ref="I84">_xlfn.IFS(AND(E84="Analyst",H84&gt;9),"Grade A", AND(E84="Analyst",H84&gt;6),"Grade B",AND(E84="Analyst",H84&lt;=6),"Grade C",E84&lt;&gt;"Analyst","Not an Analyst")</f>
        <v>Not an Analyst</v>
      </c>
      <c r="J84" t="s">
        <v>15</v>
      </c>
      <c r="K84" t="str">
        <f t="shared" si="5"/>
        <v>neha</v>
      </c>
      <c r="L84" t="str">
        <f t="shared" si="6"/>
        <v>company.com</v>
      </c>
      <c r="M84" s="11" t="s">
        <v>232</v>
      </c>
      <c r="N84" s="2" t="s">
        <v>214</v>
      </c>
      <c r="O84" t="s">
        <v>31</v>
      </c>
      <c r="P84">
        <v>81391</v>
      </c>
      <c r="V84" t="s">
        <v>82</v>
      </c>
      <c r="W84">
        <v>13</v>
      </c>
    </row>
    <row r="85" spans="1:24" x14ac:dyDescent="0.3">
      <c r="A85">
        <v>82</v>
      </c>
      <c r="B85">
        <v>84</v>
      </c>
      <c r="C85" t="s">
        <v>102</v>
      </c>
      <c r="D85" t="s">
        <v>20</v>
      </c>
      <c r="E85" t="s">
        <v>39</v>
      </c>
      <c r="F85">
        <v>31</v>
      </c>
      <c r="G85" s="6">
        <v>40006</v>
      </c>
      <c r="H85">
        <v>7</v>
      </c>
      <c r="I85" t="str" cm="1">
        <f t="array" ref="I85">_xlfn.IFS(H85&gt;=9,"Grade A", H85&gt;=5, "Grade B",H85&lt;=4, "Grade C")</f>
        <v>Grade B</v>
      </c>
      <c r="J85" t="s">
        <v>93</v>
      </c>
      <c r="K85" t="str">
        <f t="shared" si="5"/>
        <v>priya</v>
      </c>
      <c r="L85" t="str">
        <f t="shared" si="6"/>
        <v>company.com</v>
      </c>
      <c r="M85" s="11" t="s">
        <v>234</v>
      </c>
      <c r="N85" s="2" t="s">
        <v>216</v>
      </c>
      <c r="O85" t="s">
        <v>18</v>
      </c>
      <c r="P85">
        <v>136347</v>
      </c>
      <c r="V85" s="15" t="s">
        <v>39</v>
      </c>
      <c r="W85" s="15">
        <v>6</v>
      </c>
      <c r="X85" s="15" t="str" cm="1">
        <f t="array" ref="X85">_xlfn.IFS(W85&gt;=9,"Grade A", W85&gt;=5,"Grade B", W85&lt;=4,"Grade C")</f>
        <v>Grade B</v>
      </c>
    </row>
    <row r="86" spans="1:24" hidden="1" x14ac:dyDescent="0.3">
      <c r="A86">
        <v>83</v>
      </c>
      <c r="B86">
        <v>85</v>
      </c>
      <c r="C86" t="s">
        <v>32</v>
      </c>
      <c r="D86" t="s">
        <v>33</v>
      </c>
      <c r="E86" t="s">
        <v>14</v>
      </c>
      <c r="F86">
        <v>22</v>
      </c>
      <c r="G86" s="6">
        <v>60097</v>
      </c>
      <c r="H86">
        <v>10</v>
      </c>
      <c r="I86" t="str" cm="1">
        <f t="array" ref="I86">_xlfn.IFS(AND(E86="Analyst",H86&gt;9),"Grade A", AND(E86="Analyst",H86&gt;6),"Grade B",AND(E86="Analyst",H86&lt;=6),"Grade C",E86&lt;&gt;"Analyst","Not an Analyst")</f>
        <v>Not an Analyst</v>
      </c>
      <c r="J86" t="s">
        <v>34</v>
      </c>
      <c r="K86" t="str">
        <f t="shared" si="5"/>
        <v>karan</v>
      </c>
      <c r="L86" t="str">
        <f t="shared" si="6"/>
        <v>company.com</v>
      </c>
      <c r="M86" s="11" t="s">
        <v>236</v>
      </c>
      <c r="N86" s="2" t="s">
        <v>218</v>
      </c>
      <c r="O86" t="s">
        <v>31</v>
      </c>
      <c r="P86">
        <v>441531</v>
      </c>
      <c r="V86" t="s">
        <v>14</v>
      </c>
      <c r="W86">
        <v>4</v>
      </c>
    </row>
    <row r="87" spans="1:24" hidden="1" x14ac:dyDescent="0.3">
      <c r="A87">
        <v>84</v>
      </c>
      <c r="B87">
        <v>86</v>
      </c>
      <c r="C87" t="s">
        <v>268</v>
      </c>
      <c r="D87" t="s">
        <v>92</v>
      </c>
      <c r="E87" t="s">
        <v>82</v>
      </c>
      <c r="F87">
        <v>25</v>
      </c>
      <c r="G87" s="6">
        <v>74713</v>
      </c>
      <c r="H87">
        <v>10</v>
      </c>
      <c r="I87" t="str" cm="1">
        <f t="array" ref="I87">_xlfn.IFS(AND(E87="Analyst",H87&gt;9),"Grade A", AND(E87="Analyst",H87&gt;6),"Grade B",AND(E87="Analyst",H87&lt;=6),"Grade C",E87&lt;&gt;"Analyst","Not an Analyst")</f>
        <v>Not an Analyst</v>
      </c>
      <c r="J87" t="s">
        <v>97</v>
      </c>
      <c r="K87" t="str">
        <f t="shared" si="5"/>
        <v>anjali</v>
      </c>
      <c r="L87" t="str">
        <f t="shared" si="6"/>
        <v>company.com</v>
      </c>
      <c r="M87" s="11" t="s">
        <v>238</v>
      </c>
      <c r="N87" s="2" t="s">
        <v>220</v>
      </c>
      <c r="O87" t="s">
        <v>31</v>
      </c>
      <c r="P87">
        <v>421807</v>
      </c>
      <c r="V87" t="s">
        <v>21</v>
      </c>
      <c r="W87">
        <v>14</v>
      </c>
    </row>
    <row r="88" spans="1:24" hidden="1" x14ac:dyDescent="0.3">
      <c r="A88">
        <v>85</v>
      </c>
      <c r="B88">
        <v>87</v>
      </c>
      <c r="C88" t="s">
        <v>264</v>
      </c>
      <c r="D88" t="s">
        <v>33</v>
      </c>
      <c r="E88" t="s">
        <v>27</v>
      </c>
      <c r="F88">
        <v>58</v>
      </c>
      <c r="G88" s="6">
        <v>20507</v>
      </c>
      <c r="H88">
        <v>15</v>
      </c>
      <c r="I88" t="str" cm="1">
        <f t="array" ref="I88">_xlfn.IFS(AND(E88="Analyst",H88&gt;9),"Grade A", AND(E88="Analyst",H88&gt;6),"Grade B",AND(E88="Analyst",H88&lt;=6),"Grade C",E88&lt;&gt;"Analyst","Not an Analyst")</f>
        <v>Not an Analyst</v>
      </c>
      <c r="J88" t="s">
        <v>97</v>
      </c>
      <c r="K88" t="str">
        <f t="shared" si="5"/>
        <v>anjali</v>
      </c>
      <c r="L88" t="str">
        <f t="shared" si="6"/>
        <v>company.com</v>
      </c>
      <c r="M88" s="11" t="s">
        <v>240</v>
      </c>
      <c r="N88" s="2" t="s">
        <v>222</v>
      </c>
      <c r="O88" t="s">
        <v>31</v>
      </c>
      <c r="P88">
        <v>286125</v>
      </c>
      <c r="V88" t="s">
        <v>21</v>
      </c>
      <c r="W88">
        <v>8</v>
      </c>
    </row>
    <row r="89" spans="1:24" hidden="1" x14ac:dyDescent="0.3">
      <c r="A89">
        <v>86</v>
      </c>
      <c r="B89">
        <v>88</v>
      </c>
      <c r="C89" t="s">
        <v>59</v>
      </c>
      <c r="D89" t="s">
        <v>13</v>
      </c>
      <c r="E89" t="s">
        <v>21</v>
      </c>
      <c r="F89">
        <v>57</v>
      </c>
      <c r="G89" s="6">
        <v>98253</v>
      </c>
      <c r="H89">
        <v>11</v>
      </c>
      <c r="I89" t="str" cm="1">
        <f t="array" ref="I89">_xlfn.IFS(AND(E89="Analyst",H89&gt;9),"Grade A", AND(E89="Analyst",H89&gt;6),"Grade B",AND(E89="Analyst",H89&lt;=6),"Grade C",E89&lt;&gt;"Analyst","Not an Analyst")</f>
        <v>Not an Analyst</v>
      </c>
      <c r="J89" t="s">
        <v>60</v>
      </c>
      <c r="K89" t="str">
        <f t="shared" si="5"/>
        <v>pooja</v>
      </c>
      <c r="L89" t="str">
        <f t="shared" si="6"/>
        <v>company.com</v>
      </c>
      <c r="M89" s="11" t="s">
        <v>242</v>
      </c>
      <c r="N89" s="2" t="s">
        <v>224</v>
      </c>
      <c r="O89" t="s">
        <v>18</v>
      </c>
      <c r="P89">
        <v>299131</v>
      </c>
      <c r="V89" t="s">
        <v>21</v>
      </c>
      <c r="W89">
        <v>4</v>
      </c>
    </row>
    <row r="90" spans="1:24" ht="15.6" x14ac:dyDescent="0.3">
      <c r="A90">
        <v>87</v>
      </c>
      <c r="B90">
        <v>89</v>
      </c>
      <c r="C90" t="s">
        <v>45</v>
      </c>
      <c r="D90" t="s">
        <v>26</v>
      </c>
      <c r="E90" t="s">
        <v>39</v>
      </c>
      <c r="F90" s="17">
        <v>55</v>
      </c>
      <c r="G90" s="6">
        <v>43827</v>
      </c>
      <c r="H90">
        <v>12</v>
      </c>
      <c r="I90" t="str" cm="1">
        <f t="array" ref="I90">_xlfn.IFS(H90&gt;=9,"Grade A", H90&gt;=5, "Grade B",H90&lt;=4, "Grade C")</f>
        <v>Grade A</v>
      </c>
      <c r="J90" t="s">
        <v>47</v>
      </c>
      <c r="K90" t="str">
        <f t="shared" si="5"/>
        <v>vikram</v>
      </c>
      <c r="L90" t="str">
        <f t="shared" si="6"/>
        <v>company.com</v>
      </c>
      <c r="M90" s="11" t="s">
        <v>244</v>
      </c>
      <c r="N90" s="2" t="s">
        <v>226</v>
      </c>
      <c r="O90" t="s">
        <v>31</v>
      </c>
      <c r="P90">
        <v>176572</v>
      </c>
      <c r="V90" s="15" t="s">
        <v>39</v>
      </c>
      <c r="W90" s="15">
        <v>5</v>
      </c>
      <c r="X90" s="15" t="str" cm="1">
        <f t="array" ref="X90">_xlfn.IFS(W90&gt;=9,"Grade A", W90&gt;=5,"Grade B", W90&lt;=4,"Grade C")</f>
        <v>Grade B</v>
      </c>
    </row>
    <row r="91" spans="1:24" hidden="1" x14ac:dyDescent="0.3">
      <c r="A91">
        <v>88</v>
      </c>
      <c r="B91">
        <v>90</v>
      </c>
      <c r="C91" t="s">
        <v>32</v>
      </c>
      <c r="D91" t="s">
        <v>33</v>
      </c>
      <c r="E91" t="s">
        <v>27</v>
      </c>
      <c r="F91">
        <v>0</v>
      </c>
      <c r="G91" s="6">
        <v>0</v>
      </c>
      <c r="H91">
        <v>12</v>
      </c>
      <c r="I91" t="str" cm="1">
        <f t="array" ref="I91">_xlfn.IFS(AND(E91="Analyst",H91&gt;9),"Grade A", AND(E91="Analyst",H91&gt;6),"Grade B",AND(E91="Analyst",H91&lt;=6),"Grade C",E91&lt;&gt;"Analyst","Not an Analyst")</f>
        <v>Not an Analyst</v>
      </c>
      <c r="J91" t="s">
        <v>34</v>
      </c>
      <c r="K91" t="str">
        <f t="shared" si="5"/>
        <v>karan</v>
      </c>
      <c r="L91" t="str">
        <f t="shared" si="6"/>
        <v>company.com</v>
      </c>
      <c r="M91" s="11" t="s">
        <v>246</v>
      </c>
      <c r="N91" s="2" t="s">
        <v>228</v>
      </c>
      <c r="O91" t="s">
        <v>18</v>
      </c>
      <c r="P91">
        <v>416907</v>
      </c>
      <c r="V91" t="s">
        <v>82</v>
      </c>
      <c r="W91">
        <v>4</v>
      </c>
    </row>
    <row r="92" spans="1:24" hidden="1" x14ac:dyDescent="0.3">
      <c r="A92">
        <v>89</v>
      </c>
      <c r="B92">
        <v>91</v>
      </c>
      <c r="C92" t="s">
        <v>50</v>
      </c>
      <c r="D92" t="s">
        <v>13</v>
      </c>
      <c r="E92" t="s">
        <v>21</v>
      </c>
      <c r="F92">
        <v>47</v>
      </c>
      <c r="G92" s="6">
        <v>96712</v>
      </c>
      <c r="H92">
        <v>15</v>
      </c>
      <c r="I92" t="str" cm="1">
        <f t="array" ref="I92">_xlfn.IFS(AND(E92="Analyst",H92&gt;9),"Grade A", AND(E92="Analyst",H92&gt;6),"Grade B",AND(E92="Analyst",H92&lt;=6),"Grade C",E92&lt;&gt;"Analyst","Not an Analyst")</f>
        <v>Not an Analyst</v>
      </c>
      <c r="J92" t="s">
        <v>51</v>
      </c>
      <c r="K92" t="str">
        <f t="shared" si="5"/>
        <v>sneha</v>
      </c>
      <c r="L92" t="str">
        <f t="shared" si="6"/>
        <v>company.com</v>
      </c>
      <c r="M92" s="11">
        <v>0</v>
      </c>
      <c r="N92" s="2" t="s">
        <v>230</v>
      </c>
      <c r="O92" t="s">
        <v>18</v>
      </c>
      <c r="P92">
        <v>474021</v>
      </c>
      <c r="V92" t="s">
        <v>21</v>
      </c>
      <c r="W92">
        <v>3</v>
      </c>
    </row>
    <row r="93" spans="1:24" hidden="1" x14ac:dyDescent="0.3">
      <c r="A93">
        <v>91</v>
      </c>
      <c r="B93">
        <v>92</v>
      </c>
      <c r="C93" t="s">
        <v>19</v>
      </c>
      <c r="D93" t="s">
        <v>26</v>
      </c>
      <c r="E93" t="s">
        <v>39</v>
      </c>
      <c r="F93">
        <v>22</v>
      </c>
      <c r="G93" s="6">
        <v>90891</v>
      </c>
      <c r="H93">
        <v>7</v>
      </c>
      <c r="I93" t="str" cm="1">
        <f t="array" ref="I93">_xlfn.IFS(AND(E93="Analyst",H93&gt;9),"Grade A", AND(E93="Analyst",H93&gt;6),"Grade B",AND(E93="Analyst",H93&lt;=6),"Grade C",E93&lt;&gt;"Analyst","Not an Analyst")</f>
        <v>Grade B</v>
      </c>
      <c r="J93" t="s">
        <v>22</v>
      </c>
      <c r="K93" t="str">
        <f t="shared" si="5"/>
        <v>rohit</v>
      </c>
      <c r="L93" t="str">
        <f t="shared" si="6"/>
        <v>company.com</v>
      </c>
      <c r="M93" s="11">
        <v>0</v>
      </c>
      <c r="N93" s="2" t="s">
        <v>233</v>
      </c>
      <c r="O93" t="s">
        <v>31</v>
      </c>
      <c r="P93">
        <v>43666</v>
      </c>
      <c r="V93" t="s">
        <v>27</v>
      </c>
      <c r="W93">
        <v>12</v>
      </c>
    </row>
    <row r="94" spans="1:24" hidden="1" x14ac:dyDescent="0.3">
      <c r="A94">
        <v>92</v>
      </c>
      <c r="B94">
        <v>93</v>
      </c>
      <c r="C94" t="s">
        <v>12</v>
      </c>
      <c r="D94" t="s">
        <v>13</v>
      </c>
      <c r="E94" t="s">
        <v>21</v>
      </c>
      <c r="F94">
        <v>58</v>
      </c>
      <c r="G94" s="6">
        <v>55816</v>
      </c>
      <c r="H94">
        <v>12</v>
      </c>
      <c r="I94" t="str" cm="1">
        <f t="array" ref="I94">_xlfn.IFS(AND(E94="Analyst",H94&gt;9),"Grade A", AND(E94="Analyst",H94&gt;6),"Grade B",AND(E94="Analyst",H94&lt;=6),"Grade C",E94&lt;&gt;"Analyst","Not an Analyst")</f>
        <v>Not an Analyst</v>
      </c>
      <c r="J94" t="s">
        <v>15</v>
      </c>
      <c r="K94" t="str">
        <f t="shared" si="5"/>
        <v>neha</v>
      </c>
      <c r="L94" t="str">
        <f t="shared" si="6"/>
        <v>company.com</v>
      </c>
      <c r="M94" s="11">
        <v>0</v>
      </c>
      <c r="N94" s="2" t="s">
        <v>235</v>
      </c>
      <c r="O94" t="s">
        <v>18</v>
      </c>
      <c r="P94">
        <v>158891</v>
      </c>
      <c r="V94" t="s">
        <v>14</v>
      </c>
      <c r="W94">
        <v>10</v>
      </c>
    </row>
    <row r="95" spans="1:24" hidden="1" x14ac:dyDescent="0.3">
      <c r="A95">
        <v>93</v>
      </c>
      <c r="B95">
        <v>94</v>
      </c>
      <c r="C95" t="s">
        <v>19</v>
      </c>
      <c r="D95" t="s">
        <v>92</v>
      </c>
      <c r="E95" t="s">
        <v>39</v>
      </c>
      <c r="F95">
        <v>43</v>
      </c>
      <c r="G95" s="6">
        <v>51684</v>
      </c>
      <c r="H95">
        <v>11</v>
      </c>
      <c r="I95" t="str" cm="1">
        <f t="array" ref="I95">_xlfn.IFS(AND(E95="Analyst",H95&gt;9),"Grade A", AND(E95="Analyst",H95&gt;6),"Grade B",AND(E95="Analyst",H95&lt;=6),"Grade C",E95&lt;&gt;"Analyst","Not an Analyst")</f>
        <v>Grade A</v>
      </c>
      <c r="J95" t="s">
        <v>22</v>
      </c>
      <c r="K95" t="str">
        <f t="shared" si="5"/>
        <v>rohit</v>
      </c>
      <c r="L95" t="str">
        <f t="shared" si="6"/>
        <v>company.com</v>
      </c>
      <c r="M95" s="11">
        <v>0</v>
      </c>
      <c r="N95" s="2" t="s">
        <v>237</v>
      </c>
      <c r="O95" t="s">
        <v>31</v>
      </c>
      <c r="P95">
        <v>362887</v>
      </c>
      <c r="V95" t="s">
        <v>21</v>
      </c>
      <c r="W95">
        <v>13</v>
      </c>
    </row>
    <row r="96" spans="1:24" x14ac:dyDescent="0.3">
      <c r="A96">
        <v>94</v>
      </c>
      <c r="B96">
        <v>95</v>
      </c>
      <c r="C96" t="s">
        <v>19</v>
      </c>
      <c r="D96" t="s">
        <v>33</v>
      </c>
      <c r="E96" t="s">
        <v>82</v>
      </c>
      <c r="F96">
        <v>31</v>
      </c>
      <c r="G96" s="6">
        <v>27018</v>
      </c>
      <c r="H96">
        <v>7</v>
      </c>
      <c r="I96" t="str" cm="1">
        <f t="array" ref="I96">_xlfn.IFS(H96&gt;=9,"Grade A", H96&gt;=5, "Grade B",H96&lt;=4, "Grade C")</f>
        <v>Grade B</v>
      </c>
      <c r="J96" t="s">
        <v>22</v>
      </c>
      <c r="K96" t="str">
        <f t="shared" si="5"/>
        <v>rohit</v>
      </c>
      <c r="L96" t="str">
        <f t="shared" si="6"/>
        <v>company.com</v>
      </c>
      <c r="M96" s="11">
        <v>0</v>
      </c>
      <c r="N96" s="2" t="s">
        <v>239</v>
      </c>
      <c r="O96" t="s">
        <v>31</v>
      </c>
      <c r="P96">
        <v>154990</v>
      </c>
      <c r="V96" s="15" t="s">
        <v>39</v>
      </c>
      <c r="W96" s="15">
        <v>7</v>
      </c>
      <c r="X96" s="15" t="str" cm="1">
        <f t="array" ref="X96">_xlfn.IFS(W96&gt;=9,"Grade A", W96&gt;=5,"Grade B", W96&lt;=4,"Grade C")</f>
        <v>Grade B</v>
      </c>
    </row>
    <row r="97" spans="1:24" x14ac:dyDescent="0.3">
      <c r="A97">
        <v>95</v>
      </c>
      <c r="B97">
        <v>96</v>
      </c>
      <c r="C97" t="s">
        <v>261</v>
      </c>
      <c r="D97" t="s">
        <v>26</v>
      </c>
      <c r="E97" t="s">
        <v>39</v>
      </c>
      <c r="F97">
        <v>24</v>
      </c>
      <c r="G97" s="6">
        <v>65376</v>
      </c>
      <c r="H97">
        <v>5</v>
      </c>
      <c r="I97" t="str" cm="1">
        <f t="array" ref="I97">_xlfn.IFS(H97&gt;=9,"Grade A", H97&gt;=5, "Grade B",H97&lt;=4, "Grade C")</f>
        <v>Grade B</v>
      </c>
      <c r="J97" t="s">
        <v>22</v>
      </c>
      <c r="K97" t="str">
        <f t="shared" si="5"/>
        <v>rohit</v>
      </c>
      <c r="L97" t="str">
        <f t="shared" si="6"/>
        <v>company.com</v>
      </c>
      <c r="M97" s="11">
        <v>0</v>
      </c>
      <c r="N97" s="2" t="s">
        <v>241</v>
      </c>
      <c r="O97" t="s">
        <v>31</v>
      </c>
      <c r="P97">
        <v>403306</v>
      </c>
      <c r="V97" s="15" t="s">
        <v>39</v>
      </c>
      <c r="W97" s="15">
        <v>7</v>
      </c>
      <c r="X97" s="15" t="str" cm="1">
        <f t="array" ref="X97">_xlfn.IFS(W97&gt;=9,"Grade A", W97&gt;=5,"Grade B", W97&lt;=4,"Grade C")</f>
        <v>Grade B</v>
      </c>
    </row>
    <row r="98" spans="1:24" hidden="1" x14ac:dyDescent="0.3">
      <c r="A98">
        <v>96</v>
      </c>
      <c r="B98">
        <v>97</v>
      </c>
      <c r="C98" t="s">
        <v>268</v>
      </c>
      <c r="D98" t="s">
        <v>13</v>
      </c>
      <c r="E98" t="s">
        <v>82</v>
      </c>
      <c r="F98">
        <v>55</v>
      </c>
      <c r="G98" s="6">
        <v>0</v>
      </c>
      <c r="H98">
        <v>0</v>
      </c>
      <c r="I98" t="str" cm="1">
        <f t="array" ref="I98">_xlfn.IFS(AND(E98="Analyst",H98&gt;9),"Grade A", AND(E98="Analyst",H98&gt;6),"Grade B",AND(E98="Analyst",H98&lt;=6),"Grade C",E98&lt;&gt;"Analyst","Not an Analyst")</f>
        <v>Not an Analyst</v>
      </c>
      <c r="J98" t="s">
        <v>22</v>
      </c>
      <c r="K98" t="str">
        <f t="shared" si="5"/>
        <v>rohit</v>
      </c>
      <c r="L98" t="str">
        <f t="shared" si="6"/>
        <v>company.com</v>
      </c>
      <c r="M98" s="11">
        <v>0</v>
      </c>
      <c r="N98" s="2" t="s">
        <v>243</v>
      </c>
      <c r="O98" t="s">
        <v>31</v>
      </c>
      <c r="P98">
        <v>24926</v>
      </c>
      <c r="V98" t="s">
        <v>82</v>
      </c>
      <c r="W98">
        <v>15</v>
      </c>
    </row>
    <row r="99" spans="1:24" hidden="1" x14ac:dyDescent="0.3">
      <c r="A99">
        <v>97</v>
      </c>
      <c r="B99">
        <v>98</v>
      </c>
      <c r="C99" t="s">
        <v>45</v>
      </c>
      <c r="D99" t="s">
        <v>33</v>
      </c>
      <c r="E99" t="s">
        <v>82</v>
      </c>
      <c r="F99">
        <v>52</v>
      </c>
      <c r="G99" s="6">
        <v>21260</v>
      </c>
      <c r="H99">
        <v>15</v>
      </c>
      <c r="I99" t="str" cm="1">
        <f t="array" ref="I99">_xlfn.IFS(AND(E99="Analyst",H99&gt;9),"Grade A", AND(E99="Analyst",H99&gt;6),"Grade B",AND(E99="Analyst",H99&lt;=6),"Grade C",E99&lt;&gt;"Analyst","Not an Analyst")</f>
        <v>Not an Analyst</v>
      </c>
      <c r="J99" t="s">
        <v>47</v>
      </c>
      <c r="K99" t="str">
        <f t="shared" si="5"/>
        <v>vikram</v>
      </c>
      <c r="L99" t="str">
        <f t="shared" si="6"/>
        <v>company.com</v>
      </c>
      <c r="M99" s="11">
        <v>0</v>
      </c>
      <c r="N99" s="2" t="s">
        <v>245</v>
      </c>
      <c r="O99" t="s">
        <v>18</v>
      </c>
      <c r="P99">
        <v>130492</v>
      </c>
      <c r="V99" t="s">
        <v>27</v>
      </c>
      <c r="W99">
        <v>9</v>
      </c>
    </row>
    <row r="100" spans="1:24" hidden="1" x14ac:dyDescent="0.3">
      <c r="A100">
        <v>98</v>
      </c>
      <c r="B100">
        <v>99</v>
      </c>
      <c r="C100" t="s">
        <v>102</v>
      </c>
      <c r="D100" t="s">
        <v>92</v>
      </c>
      <c r="E100" t="s">
        <v>14</v>
      </c>
      <c r="F100">
        <v>44</v>
      </c>
      <c r="G100" s="6">
        <v>83362</v>
      </c>
      <c r="H100">
        <v>12</v>
      </c>
      <c r="I100" t="str" cm="1">
        <f t="array" ref="I100">_xlfn.IFS(AND(E100="Analyst",H100&gt;9),"Grade A", AND(E100="Analyst",H100&gt;6),"Grade B",AND(E100="Analyst",H100&lt;=6),"Grade C",E100&lt;&gt;"Analyst","Not an Analyst")</f>
        <v>Not an Analyst</v>
      </c>
      <c r="J100" t="s">
        <v>93</v>
      </c>
      <c r="K100" t="str">
        <f t="shared" si="5"/>
        <v>priya</v>
      </c>
      <c r="L100" t="str">
        <f t="shared" si="6"/>
        <v>company.com</v>
      </c>
      <c r="M100" s="11">
        <v>0</v>
      </c>
      <c r="N100" s="2" t="s">
        <v>247</v>
      </c>
      <c r="O100" t="s">
        <v>18</v>
      </c>
      <c r="P100">
        <v>23089</v>
      </c>
      <c r="V100" t="s">
        <v>14</v>
      </c>
      <c r="W100">
        <v>6</v>
      </c>
    </row>
    <row r="101" spans="1:24" hidden="1" x14ac:dyDescent="0.3">
      <c r="A101">
        <v>99</v>
      </c>
      <c r="B101">
        <v>100</v>
      </c>
      <c r="C101" t="s">
        <v>45</v>
      </c>
      <c r="D101" t="s">
        <v>92</v>
      </c>
      <c r="E101" t="s">
        <v>21</v>
      </c>
      <c r="F101">
        <v>0</v>
      </c>
      <c r="G101" s="6">
        <v>27119</v>
      </c>
      <c r="H101">
        <v>12</v>
      </c>
      <c r="I101" t="str" cm="1">
        <f t="array" ref="I101">_xlfn.IFS(AND(E101="Analyst",H101&gt;9),"Grade A", AND(E101="Analyst",H101&gt;6),"Grade B",AND(E101="Analyst",H101&lt;=6),"Grade C",E101&lt;&gt;"Analyst","Not an Analyst")</f>
        <v>Not an Analyst</v>
      </c>
      <c r="J101" t="s">
        <v>47</v>
      </c>
      <c r="K101" t="str">
        <f t="shared" si="5"/>
        <v>vikram</v>
      </c>
      <c r="L101" t="str">
        <f t="shared" si="6"/>
        <v>company.com</v>
      </c>
      <c r="M101" s="11">
        <v>0</v>
      </c>
      <c r="N101" s="2" t="s">
        <v>248</v>
      </c>
      <c r="O101" t="s">
        <v>31</v>
      </c>
      <c r="P101">
        <v>209435</v>
      </c>
      <c r="V101" t="s">
        <v>14</v>
      </c>
      <c r="W101">
        <v>2</v>
      </c>
    </row>
    <row r="102" spans="1:24" hidden="1" x14ac:dyDescent="0.3">
      <c r="G102" s="7">
        <f>SUM(G2:G101)</f>
        <v>5338527</v>
      </c>
      <c r="V102" t="s">
        <v>27</v>
      </c>
      <c r="W102">
        <v>7</v>
      </c>
    </row>
    <row r="103" spans="1:24" hidden="1" x14ac:dyDescent="0.3">
      <c r="V103" t="s">
        <v>21</v>
      </c>
      <c r="W103">
        <v>13</v>
      </c>
    </row>
    <row r="104" spans="1:24" ht="15.6" x14ac:dyDescent="0.3">
      <c r="G104" s="18">
        <f>SUM(G2:G97)</f>
        <v>5206786</v>
      </c>
      <c r="V104" s="15" t="s">
        <v>39</v>
      </c>
      <c r="W104" s="15">
        <v>5</v>
      </c>
      <c r="X104" s="15" t="str" cm="1">
        <f t="array" ref="X104">_xlfn.IFS(W104&gt;=9,"Grade A", W104&gt;=5,"Grade B", W104&lt;=4,"Grade C")</f>
        <v>Grade B</v>
      </c>
    </row>
    <row r="105" spans="1:24" hidden="1" x14ac:dyDescent="0.3">
      <c r="V105" t="s">
        <v>82</v>
      </c>
      <c r="W105">
        <v>0</v>
      </c>
    </row>
    <row r="106" spans="1:24" hidden="1" x14ac:dyDescent="0.3">
      <c r="V106" t="s">
        <v>14</v>
      </c>
      <c r="W106">
        <v>4</v>
      </c>
    </row>
    <row r="107" spans="1:24" hidden="1" x14ac:dyDescent="0.3">
      <c r="V107" t="s">
        <v>14</v>
      </c>
      <c r="W107">
        <v>0</v>
      </c>
    </row>
    <row r="108" spans="1:24" hidden="1" x14ac:dyDescent="0.3">
      <c r="V108" t="s">
        <v>82</v>
      </c>
      <c r="W108">
        <v>2</v>
      </c>
    </row>
    <row r="109" spans="1:24" hidden="1" x14ac:dyDescent="0.3">
      <c r="V109" t="s">
        <v>27</v>
      </c>
      <c r="W109">
        <v>4</v>
      </c>
    </row>
    <row r="110" spans="1:24" hidden="1" x14ac:dyDescent="0.3">
      <c r="V110" t="s">
        <v>27</v>
      </c>
      <c r="W110">
        <v>14</v>
      </c>
    </row>
    <row r="111" spans="1:24" hidden="1" x14ac:dyDescent="0.3">
      <c r="V111" t="s">
        <v>82</v>
      </c>
      <c r="W111">
        <v>5</v>
      </c>
    </row>
    <row r="112" spans="1:24" hidden="1" x14ac:dyDescent="0.3">
      <c r="V112" t="s">
        <v>27</v>
      </c>
      <c r="W112">
        <v>12</v>
      </c>
    </row>
    <row r="113" spans="22:24" hidden="1" x14ac:dyDescent="0.3">
      <c r="V113" t="s">
        <v>14</v>
      </c>
      <c r="W113">
        <v>11</v>
      </c>
    </row>
    <row r="114" spans="22:24" hidden="1" x14ac:dyDescent="0.3">
      <c r="V114" t="s">
        <v>27</v>
      </c>
      <c r="W114">
        <v>15</v>
      </c>
    </row>
    <row r="115" spans="22:24" hidden="1" x14ac:dyDescent="0.3">
      <c r="V115" t="s">
        <v>21</v>
      </c>
      <c r="W115">
        <v>7</v>
      </c>
    </row>
    <row r="116" spans="22:24" x14ac:dyDescent="0.3">
      <c r="V116" s="15" t="s">
        <v>39</v>
      </c>
      <c r="W116" s="15">
        <v>2</v>
      </c>
      <c r="X116" s="15" t="str" cm="1">
        <f t="array" ref="X116">_xlfn.IFS(W116&gt;=9,"Grade A", W116&gt;=5,"Grade B", W116&lt;=4,"Grade C")</f>
        <v>Grade C</v>
      </c>
    </row>
    <row r="117" spans="22:24" hidden="1" x14ac:dyDescent="0.3">
      <c r="V117" t="s">
        <v>82</v>
      </c>
      <c r="W117">
        <v>13</v>
      </c>
    </row>
    <row r="118" spans="22:24" hidden="1" x14ac:dyDescent="0.3">
      <c r="V118" t="s">
        <v>21</v>
      </c>
      <c r="W118">
        <v>5</v>
      </c>
    </row>
    <row r="119" spans="22:24" hidden="1" x14ac:dyDescent="0.3">
      <c r="V119" t="s">
        <v>82</v>
      </c>
      <c r="W119">
        <v>5</v>
      </c>
    </row>
    <row r="120" spans="22:24" x14ac:dyDescent="0.3">
      <c r="V120" s="15" t="s">
        <v>39</v>
      </c>
      <c r="W120" s="15">
        <v>0</v>
      </c>
      <c r="X120" s="15" t="str" cm="1">
        <f t="array" ref="X120">_xlfn.IFS(W120&gt;=9,"Grade A", W120&gt;=5,"Grade B", W120&lt;=4,"Grade C")</f>
        <v>Grade C</v>
      </c>
    </row>
    <row r="121" spans="22:24" hidden="1" x14ac:dyDescent="0.3">
      <c r="V121" t="s">
        <v>14</v>
      </c>
      <c r="W121">
        <v>10</v>
      </c>
    </row>
    <row r="122" spans="22:24" hidden="1" x14ac:dyDescent="0.3">
      <c r="V122" t="s">
        <v>82</v>
      </c>
      <c r="W122">
        <v>10</v>
      </c>
    </row>
    <row r="123" spans="22:24" hidden="1" x14ac:dyDescent="0.3">
      <c r="V123" t="s">
        <v>27</v>
      </c>
      <c r="W123">
        <v>15</v>
      </c>
    </row>
    <row r="124" spans="22:24" hidden="1" x14ac:dyDescent="0.3">
      <c r="V124" t="s">
        <v>21</v>
      </c>
      <c r="W124">
        <v>11</v>
      </c>
    </row>
    <row r="125" spans="22:24" x14ac:dyDescent="0.3">
      <c r="V125" s="15" t="s">
        <v>39</v>
      </c>
      <c r="W125" s="15">
        <v>2</v>
      </c>
      <c r="X125" s="15" t="str" cm="1">
        <f t="array" ref="X125">_xlfn.IFS(W125&gt;=9,"Grade A", W125&gt;=5,"Grade B", W125&lt;=4,"Grade C")</f>
        <v>Grade C</v>
      </c>
    </row>
    <row r="126" spans="22:24" hidden="1" x14ac:dyDescent="0.3">
      <c r="V126" t="s">
        <v>27</v>
      </c>
      <c r="W126">
        <v>12</v>
      </c>
    </row>
    <row r="127" spans="22:24" hidden="1" x14ac:dyDescent="0.3">
      <c r="V127" t="s">
        <v>21</v>
      </c>
      <c r="W127">
        <v>15</v>
      </c>
    </row>
    <row r="128" spans="22:24" x14ac:dyDescent="0.3">
      <c r="V128" s="15" t="s">
        <v>39</v>
      </c>
      <c r="W128" s="15">
        <v>0</v>
      </c>
      <c r="X128" s="15" t="str" cm="1">
        <f t="array" ref="X128">_xlfn.IFS(W128&gt;=9,"Grade A", W128&gt;=5,"Grade B", W128&lt;=4,"Grade C")</f>
        <v>Grade C</v>
      </c>
    </row>
    <row r="129" spans="7:24" hidden="1" x14ac:dyDescent="0.3">
      <c r="V129" t="s">
        <v>21</v>
      </c>
      <c r="W129">
        <v>12</v>
      </c>
    </row>
    <row r="130" spans="7:24" x14ac:dyDescent="0.3">
      <c r="G130"/>
      <c r="V130" s="15" t="s">
        <v>39</v>
      </c>
      <c r="W130" s="15">
        <v>4</v>
      </c>
      <c r="X130" s="15" t="str" cm="1">
        <f t="array" ref="X130">_xlfn.IFS(W130&gt;=9,"Grade A", W130&gt;=5,"Grade B", W130&lt;=4,"Grade C")</f>
        <v>Grade C</v>
      </c>
    </row>
    <row r="131" spans="7:24" hidden="1" x14ac:dyDescent="0.3">
      <c r="V131" t="s">
        <v>82</v>
      </c>
      <c r="W131">
        <v>7</v>
      </c>
    </row>
    <row r="132" spans="7:24" x14ac:dyDescent="0.3">
      <c r="V132" s="15" t="s">
        <v>39</v>
      </c>
      <c r="W132" s="15">
        <v>1</v>
      </c>
      <c r="X132" s="15" t="str" cm="1">
        <f t="array" ref="X132">_xlfn.IFS(W132&gt;=9,"Grade A", W132&gt;=5,"Grade B", W132&lt;=4,"Grade C")</f>
        <v>Grade C</v>
      </c>
    </row>
    <row r="133" spans="7:24" hidden="1" x14ac:dyDescent="0.3">
      <c r="V133" t="s">
        <v>82</v>
      </c>
      <c r="W133">
        <v>0</v>
      </c>
    </row>
    <row r="134" spans="7:24" hidden="1" x14ac:dyDescent="0.3">
      <c r="V134" t="s">
        <v>82</v>
      </c>
      <c r="W134">
        <v>15</v>
      </c>
    </row>
    <row r="135" spans="7:24" hidden="1" x14ac:dyDescent="0.3">
      <c r="V135" t="s">
        <v>14</v>
      </c>
      <c r="W135">
        <v>12</v>
      </c>
    </row>
    <row r="136" spans="7:24" hidden="1" x14ac:dyDescent="0.3">
      <c r="V136" t="s">
        <v>21</v>
      </c>
      <c r="W136">
        <v>12</v>
      </c>
    </row>
  </sheetData>
  <autoFilter ref="V36:W136" xr:uid="{80FE0D1C-BB60-4F77-8A54-C6426EF7E889}">
    <filterColumn colId="0">
      <filters>
        <filter val="Analyst"/>
      </filters>
    </filterColumn>
  </autoFilter>
  <sortState xmlns:xlrd2="http://schemas.microsoft.com/office/spreadsheetml/2017/richdata2" ref="V42:X132">
    <sortCondition ref="X37:X136"/>
  </sortState>
  <phoneticPr fontId="3" type="noConversion"/>
  <conditionalFormatting sqref="B2:P97">
    <cfRule type="expression" dxfId="3" priority="4">
      <formula>$D2=$Q$3</formula>
    </cfRule>
  </conditionalFormatting>
  <conditionalFormatting sqref="G2:G97">
    <cfRule type="cellIs" dxfId="2" priority="2" operator="greaterThan">
      <formula>80000</formula>
    </cfRule>
  </conditionalFormatting>
  <dataValidations count="1">
    <dataValidation type="list" showInputMessage="1" showErrorMessage="1" sqref="Q3" xr:uid="{BC3ED79C-F14E-47E0-B9AD-1ECC1B1F84AF}">
      <formula1>"Sales, IT"</formula1>
    </dataValidation>
  </dataValidations>
  <hyperlinks>
    <hyperlink ref="J2" r:id="rId1" xr:uid="{7A029803-DB1B-481C-83A7-19A83A7E925B}"/>
    <hyperlink ref="J3" r:id="rId2" xr:uid="{51777E9D-45BF-4D7D-9322-0A0B9F7E3257}"/>
    <hyperlink ref="J20" r:id="rId3" xr:uid="{093748B5-9471-4926-80E2-5A1AC92F8E40}"/>
  </hyperlinks>
  <pageMargins left="0.7" right="0.7" top="0.75" bottom="0.75" header="0.3" footer="0.3"/>
  <pageSetup orientation="portrait" r:id="rId4"/>
  <ignoredErrors>
    <ignoredError sqref="I76 I74 I62 I42 I85 I90 I52" formula="1"/>
    <ignoredError sqref="G104" formulaRange="1"/>
  </ignoredErrors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1628-745C-46C5-86FA-585319C3C448}">
  <dimension ref="A1:G18"/>
  <sheetViews>
    <sheetView workbookViewId="0">
      <selection activeCell="B7" sqref="B7"/>
    </sheetView>
  </sheetViews>
  <sheetFormatPr defaultRowHeight="14.4" x14ac:dyDescent="0.3"/>
  <cols>
    <col min="1" max="7" width="16.77734375" customWidth="1"/>
  </cols>
  <sheetData>
    <row r="1" spans="1:7" x14ac:dyDescent="0.3">
      <c r="A1" s="21" t="s">
        <v>314</v>
      </c>
      <c r="B1" s="21" t="s">
        <v>315</v>
      </c>
      <c r="C1" s="21" t="s">
        <v>316</v>
      </c>
      <c r="D1" s="21" t="s">
        <v>317</v>
      </c>
      <c r="E1" s="21" t="s">
        <v>318</v>
      </c>
      <c r="F1" s="21" t="s">
        <v>319</v>
      </c>
      <c r="G1" s="21" t="s">
        <v>320</v>
      </c>
    </row>
    <row r="2" spans="1:7" x14ac:dyDescent="0.3">
      <c r="A2" t="s">
        <v>321</v>
      </c>
      <c r="B2" t="s">
        <v>322</v>
      </c>
      <c r="C2" t="s">
        <v>323</v>
      </c>
      <c r="D2" t="s">
        <v>324</v>
      </c>
      <c r="E2" t="s">
        <v>322</v>
      </c>
      <c r="F2" t="s">
        <v>325</v>
      </c>
      <c r="G2" t="s">
        <v>326</v>
      </c>
    </row>
    <row r="3" spans="1:7" x14ac:dyDescent="0.3">
      <c r="A3" t="s">
        <v>327</v>
      </c>
      <c r="B3" t="s">
        <v>328</v>
      </c>
      <c r="C3" t="s">
        <v>329</v>
      </c>
      <c r="D3" t="s">
        <v>330</v>
      </c>
      <c r="E3" t="s">
        <v>328</v>
      </c>
      <c r="F3" t="s">
        <v>325</v>
      </c>
      <c r="G3" t="s">
        <v>331</v>
      </c>
    </row>
    <row r="4" spans="1:7" x14ac:dyDescent="0.3">
      <c r="A4" t="s">
        <v>332</v>
      </c>
      <c r="B4" t="s">
        <v>333</v>
      </c>
      <c r="C4" t="s">
        <v>334</v>
      </c>
      <c r="D4" t="s">
        <v>335</v>
      </c>
      <c r="E4" t="s">
        <v>333</v>
      </c>
      <c r="F4" t="s">
        <v>325</v>
      </c>
      <c r="G4" t="s">
        <v>336</v>
      </c>
    </row>
    <row r="5" spans="1:7" x14ac:dyDescent="0.3">
      <c r="A5" t="s">
        <v>337</v>
      </c>
      <c r="B5" t="s">
        <v>338</v>
      </c>
      <c r="C5" t="s">
        <v>339</v>
      </c>
      <c r="D5" t="s">
        <v>340</v>
      </c>
      <c r="E5" t="s">
        <v>341</v>
      </c>
      <c r="F5" t="s">
        <v>325</v>
      </c>
      <c r="G5" t="s">
        <v>342</v>
      </c>
    </row>
    <row r="6" spans="1:7" x14ac:dyDescent="0.3">
      <c r="A6" t="s">
        <v>343</v>
      </c>
      <c r="B6" t="s">
        <v>344</v>
      </c>
      <c r="C6" t="s">
        <v>345</v>
      </c>
      <c r="D6" t="s">
        <v>346</v>
      </c>
      <c r="E6" t="s">
        <v>347</v>
      </c>
      <c r="F6" t="s">
        <v>325</v>
      </c>
      <c r="G6" t="s">
        <v>348</v>
      </c>
    </row>
    <row r="7" spans="1:7" x14ac:dyDescent="0.3">
      <c r="A7" t="s">
        <v>349</v>
      </c>
      <c r="B7" t="s">
        <v>350</v>
      </c>
      <c r="C7" t="s">
        <v>351</v>
      </c>
      <c r="D7" t="s">
        <v>352</v>
      </c>
      <c r="E7" t="s">
        <v>353</v>
      </c>
      <c r="F7" t="s">
        <v>325</v>
      </c>
      <c r="G7" t="s">
        <v>354</v>
      </c>
    </row>
    <row r="8" spans="1:7" x14ac:dyDescent="0.3">
      <c r="A8" t="s">
        <v>355</v>
      </c>
      <c r="B8" t="s">
        <v>356</v>
      </c>
      <c r="C8" t="s">
        <v>357</v>
      </c>
      <c r="D8" t="s">
        <v>358</v>
      </c>
      <c r="E8" t="s">
        <v>359</v>
      </c>
      <c r="F8" t="s">
        <v>325</v>
      </c>
      <c r="G8" t="s">
        <v>360</v>
      </c>
    </row>
    <row r="14" spans="1:7" ht="15.6" x14ac:dyDescent="0.3">
      <c r="A14" s="17" t="s">
        <v>365</v>
      </c>
    </row>
    <row r="16" spans="1:7" x14ac:dyDescent="0.3">
      <c r="B16" s="22" t="s">
        <v>314</v>
      </c>
      <c r="C16" s="23" t="s">
        <v>317</v>
      </c>
    </row>
    <row r="17" spans="2:5" x14ac:dyDescent="0.3">
      <c r="B17" s="23" t="s">
        <v>343</v>
      </c>
      <c r="C17" s="23" t="str" cm="1">
        <f t="array" ref="C17">INDEX(A1:G8,E17,E18)</f>
        <v>Phy Edu(KK)</v>
      </c>
      <c r="D17" s="24" t="s">
        <v>361</v>
      </c>
      <c r="E17" s="23">
        <f>MATCH(B17,A1:A8,0)</f>
        <v>6</v>
      </c>
    </row>
    <row r="18" spans="2:5" x14ac:dyDescent="0.3">
      <c r="D18" s="19" t="s">
        <v>362</v>
      </c>
      <c r="E18" s="23">
        <f>MATCH(C16,A1:G1,0)</f>
        <v>4</v>
      </c>
    </row>
  </sheetData>
  <dataValidations count="2">
    <dataValidation type="list" allowBlank="1" showInputMessage="1" showErrorMessage="1" sqref="C16" xr:uid="{9935C29B-7DB8-43DF-B4A6-3FD9CE84FBA5}">
      <formula1>$B$1:$G$1</formula1>
    </dataValidation>
    <dataValidation type="list" allowBlank="1" showInputMessage="1" showErrorMessage="1" sqref="B17" xr:uid="{F5D1D195-9652-4901-89E8-BBA3E30F8B70}">
      <formula1>$A$1:$A$8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B1BC-47EB-40E9-822A-6A2D19283E2D}">
  <dimension ref="A1:AB51"/>
  <sheetViews>
    <sheetView topLeftCell="G5" zoomScale="70" zoomScaleNormal="70" workbookViewId="0">
      <selection activeCell="Q30" sqref="Q30"/>
    </sheetView>
  </sheetViews>
  <sheetFormatPr defaultRowHeight="14.4" x14ac:dyDescent="0.3"/>
  <cols>
    <col min="1" max="1" width="21.44140625" customWidth="1"/>
    <col min="2" max="14" width="19.21875" customWidth="1"/>
    <col min="15" max="15" width="21.44140625" customWidth="1"/>
    <col min="21" max="21" width="10.109375" customWidth="1"/>
    <col min="22" max="23" width="18.109375" customWidth="1"/>
    <col min="27" max="27" width="32.6640625" customWidth="1"/>
    <col min="28" max="28" width="34.33203125" customWidth="1"/>
    <col min="29" max="29" width="11.44140625" customWidth="1"/>
  </cols>
  <sheetData>
    <row r="1" spans="1:28" ht="15.6" x14ac:dyDescent="0.3">
      <c r="A1" s="25" t="s">
        <v>306</v>
      </c>
      <c r="B1" s="25" t="s">
        <v>259</v>
      </c>
      <c r="C1" s="25" t="s">
        <v>258</v>
      </c>
      <c r="D1" s="25" t="s">
        <v>266</v>
      </c>
      <c r="E1" s="25" t="s">
        <v>4</v>
      </c>
      <c r="F1" s="26" t="s">
        <v>257</v>
      </c>
      <c r="G1" s="25" t="s">
        <v>6</v>
      </c>
      <c r="H1" s="25" t="s">
        <v>279</v>
      </c>
      <c r="I1" s="25" t="s">
        <v>7</v>
      </c>
      <c r="J1" s="25" t="s">
        <v>270</v>
      </c>
      <c r="K1" s="25" t="s">
        <v>271</v>
      </c>
      <c r="L1" s="27" t="s">
        <v>8</v>
      </c>
      <c r="M1" s="28" t="s">
        <v>9</v>
      </c>
      <c r="N1" s="17" t="s">
        <v>305</v>
      </c>
      <c r="O1" s="29" t="s">
        <v>267</v>
      </c>
    </row>
    <row r="2" spans="1:28" x14ac:dyDescent="0.3">
      <c r="A2">
        <v>1</v>
      </c>
      <c r="B2" t="s">
        <v>12</v>
      </c>
      <c r="C2" t="s">
        <v>13</v>
      </c>
      <c r="D2" t="s">
        <v>14</v>
      </c>
      <c r="E2">
        <v>48</v>
      </c>
      <c r="F2" s="6">
        <v>64609</v>
      </c>
      <c r="G2">
        <v>1</v>
      </c>
      <c r="H2" t="s">
        <v>281</v>
      </c>
      <c r="I2" s="12" t="s">
        <v>15</v>
      </c>
      <c r="J2" t="s">
        <v>294</v>
      </c>
      <c r="K2" t="s">
        <v>295</v>
      </c>
      <c r="L2" s="30" t="s">
        <v>16</v>
      </c>
      <c r="M2" s="2" t="s">
        <v>17</v>
      </c>
      <c r="N2" t="s">
        <v>18</v>
      </c>
      <c r="O2">
        <v>177930</v>
      </c>
    </row>
    <row r="3" spans="1:28" x14ac:dyDescent="0.3">
      <c r="A3">
        <v>2</v>
      </c>
      <c r="B3" t="s">
        <v>269</v>
      </c>
      <c r="C3" t="s">
        <v>268</v>
      </c>
      <c r="D3" t="s">
        <v>27</v>
      </c>
      <c r="E3">
        <v>25</v>
      </c>
      <c r="F3" s="6">
        <v>32975</v>
      </c>
      <c r="G3">
        <v>4</v>
      </c>
      <c r="H3" t="s">
        <v>281</v>
      </c>
      <c r="I3" s="12" t="s">
        <v>56</v>
      </c>
      <c r="J3" t="s">
        <v>296</v>
      </c>
      <c r="K3" t="s">
        <v>295</v>
      </c>
      <c r="L3" s="30" t="s">
        <v>174</v>
      </c>
      <c r="M3" s="2" t="s">
        <v>175</v>
      </c>
      <c r="N3" t="s">
        <v>31</v>
      </c>
      <c r="O3">
        <v>0</v>
      </c>
    </row>
    <row r="4" spans="1:28" x14ac:dyDescent="0.3">
      <c r="A4">
        <v>3</v>
      </c>
      <c r="B4" t="s">
        <v>19</v>
      </c>
      <c r="C4" t="s">
        <v>20</v>
      </c>
      <c r="D4" t="s">
        <v>21</v>
      </c>
      <c r="E4">
        <v>32</v>
      </c>
      <c r="F4" s="6">
        <v>91565</v>
      </c>
      <c r="G4">
        <v>0</v>
      </c>
      <c r="H4" t="s">
        <v>281</v>
      </c>
      <c r="I4" t="s">
        <v>22</v>
      </c>
      <c r="J4" t="s">
        <v>297</v>
      </c>
      <c r="K4" t="s">
        <v>295</v>
      </c>
      <c r="L4" s="30" t="s">
        <v>23</v>
      </c>
      <c r="M4" s="2" t="s">
        <v>24</v>
      </c>
      <c r="N4" t="s">
        <v>18</v>
      </c>
      <c r="O4">
        <v>277805</v>
      </c>
    </row>
    <row r="5" spans="1:28" ht="21" x14ac:dyDescent="0.4">
      <c r="A5">
        <v>4</v>
      </c>
      <c r="B5" t="s">
        <v>25</v>
      </c>
      <c r="C5" t="s">
        <v>26</v>
      </c>
      <c r="D5" t="s">
        <v>27</v>
      </c>
      <c r="E5">
        <v>31</v>
      </c>
      <c r="F5" s="6">
        <v>33644</v>
      </c>
      <c r="G5">
        <v>1</v>
      </c>
      <c r="H5" t="s">
        <v>281</v>
      </c>
      <c r="I5" t="s">
        <v>28</v>
      </c>
      <c r="J5" t="s">
        <v>298</v>
      </c>
      <c r="K5" t="s">
        <v>295</v>
      </c>
      <c r="L5" s="30" t="s">
        <v>29</v>
      </c>
      <c r="M5" s="2" t="s">
        <v>30</v>
      </c>
      <c r="N5" t="s">
        <v>31</v>
      </c>
      <c r="O5">
        <v>499167</v>
      </c>
      <c r="V5" s="31" t="s">
        <v>311</v>
      </c>
      <c r="W5" s="32"/>
      <c r="AA5" s="35" t="s">
        <v>312</v>
      </c>
      <c r="AB5" s="36"/>
    </row>
    <row r="6" spans="1:28" ht="21" x14ac:dyDescent="0.4">
      <c r="A6">
        <v>5</v>
      </c>
      <c r="B6" t="s">
        <v>32</v>
      </c>
      <c r="C6" t="s">
        <v>33</v>
      </c>
      <c r="D6" t="s">
        <v>21</v>
      </c>
      <c r="E6">
        <v>44</v>
      </c>
      <c r="F6" s="6">
        <v>95843</v>
      </c>
      <c r="G6">
        <v>0</v>
      </c>
      <c r="H6" t="s">
        <v>281</v>
      </c>
      <c r="I6" t="s">
        <v>34</v>
      </c>
      <c r="J6" t="s">
        <v>299</v>
      </c>
      <c r="K6" t="s">
        <v>295</v>
      </c>
      <c r="L6" s="30" t="s">
        <v>35</v>
      </c>
      <c r="M6" s="2" t="s">
        <v>36</v>
      </c>
      <c r="N6" t="s">
        <v>18</v>
      </c>
      <c r="O6">
        <v>233260</v>
      </c>
      <c r="V6" s="33" t="s">
        <v>307</v>
      </c>
      <c r="W6" s="33">
        <v>61</v>
      </c>
      <c r="AA6" s="37" t="s">
        <v>310</v>
      </c>
      <c r="AB6" s="38" t="s">
        <v>58</v>
      </c>
    </row>
    <row r="7" spans="1:28" ht="21" x14ac:dyDescent="0.4">
      <c r="A7">
        <v>6</v>
      </c>
      <c r="B7" t="s">
        <v>260</v>
      </c>
      <c r="C7" t="s">
        <v>33</v>
      </c>
      <c r="D7" t="s">
        <v>39</v>
      </c>
      <c r="E7">
        <v>24</v>
      </c>
      <c r="F7" s="6">
        <v>86795</v>
      </c>
      <c r="G7">
        <v>9</v>
      </c>
      <c r="H7" t="s">
        <v>282</v>
      </c>
      <c r="I7" t="s">
        <v>28</v>
      </c>
      <c r="J7" t="s">
        <v>298</v>
      </c>
      <c r="K7" t="s">
        <v>295</v>
      </c>
      <c r="L7" s="30" t="s">
        <v>40</v>
      </c>
      <c r="M7" s="2" t="s">
        <v>41</v>
      </c>
      <c r="N7" t="s">
        <v>18</v>
      </c>
      <c r="O7">
        <v>15864</v>
      </c>
      <c r="V7" s="34" t="s">
        <v>1</v>
      </c>
      <c r="W7" s="34" t="str">
        <f t="shared" ref="W7:W12" si="0">VLOOKUP($W$6,$A$1:$O$51,ROW()-5,0)</f>
        <v>Neha</v>
      </c>
      <c r="AA7" s="39" t="s">
        <v>259</v>
      </c>
      <c r="AB7" s="40" t="str" cm="1">
        <f t="array" ref="AB7">_xlfn.XLOOKUP($AB$6,$M$1:$M$51,INDEX($A$1:$O$51,,MATCH($AA7,$A$1:$O$1,0)),"Wrong A/C No")</f>
        <v xml:space="preserve"> Amit </v>
      </c>
    </row>
    <row r="8" spans="1:28" ht="21" x14ac:dyDescent="0.4">
      <c r="A8">
        <v>7</v>
      </c>
      <c r="B8" t="s">
        <v>261</v>
      </c>
      <c r="C8" t="s">
        <v>268</v>
      </c>
      <c r="D8" t="s">
        <v>27</v>
      </c>
      <c r="E8">
        <v>57</v>
      </c>
      <c r="F8" s="6">
        <v>30041</v>
      </c>
      <c r="G8">
        <v>2</v>
      </c>
      <c r="H8" t="s">
        <v>281</v>
      </c>
      <c r="I8" t="s">
        <v>22</v>
      </c>
      <c r="J8" t="s">
        <v>297</v>
      </c>
      <c r="K8" t="s">
        <v>295</v>
      </c>
      <c r="L8" s="30" t="s">
        <v>111</v>
      </c>
      <c r="M8" s="2" t="s">
        <v>112</v>
      </c>
      <c r="N8" t="s">
        <v>18</v>
      </c>
      <c r="O8">
        <v>0</v>
      </c>
      <c r="V8" s="34" t="s">
        <v>277</v>
      </c>
      <c r="W8" s="34" t="str">
        <f t="shared" si="0"/>
        <v>HR</v>
      </c>
      <c r="AA8" s="39" t="s">
        <v>258</v>
      </c>
      <c r="AB8" s="40" t="str" cm="1">
        <f t="array" ref="AB8">_xlfn.XLOOKUP($AB$6,$M$1:$M$51,INDEX($A$1:$O$51,,MATCH($AA8,$A$1:$O$1,0)),"Wrong A/C No")</f>
        <v>Finance</v>
      </c>
    </row>
    <row r="9" spans="1:28" ht="21" x14ac:dyDescent="0.4">
      <c r="A9">
        <v>8</v>
      </c>
      <c r="B9" t="s">
        <v>12</v>
      </c>
      <c r="C9" t="s">
        <v>20</v>
      </c>
      <c r="D9" t="s">
        <v>82</v>
      </c>
      <c r="E9">
        <v>38</v>
      </c>
      <c r="F9" s="6">
        <v>99095</v>
      </c>
      <c r="G9">
        <v>7</v>
      </c>
      <c r="H9" t="s">
        <v>283</v>
      </c>
      <c r="I9" t="s">
        <v>15</v>
      </c>
      <c r="J9" t="s">
        <v>294</v>
      </c>
      <c r="K9" t="s">
        <v>295</v>
      </c>
      <c r="L9" s="30" t="s">
        <v>43</v>
      </c>
      <c r="M9" s="2" t="s">
        <v>44</v>
      </c>
      <c r="N9" t="s">
        <v>31</v>
      </c>
      <c r="O9">
        <v>146472</v>
      </c>
      <c r="V9" s="34" t="s">
        <v>308</v>
      </c>
      <c r="W9" s="34" t="str">
        <f t="shared" si="0"/>
        <v>Analyst</v>
      </c>
      <c r="AA9" s="39" t="s">
        <v>266</v>
      </c>
      <c r="AB9" s="40" t="str" cm="1">
        <f t="array" ref="AB9">_xlfn.XLOOKUP($AB$6,$M$1:$M$51,INDEX($A$1:$O$51,,MATCH($AA9,$A$1:$O$1,0)),"Wrong A/C No")</f>
        <v>Analyst</v>
      </c>
    </row>
    <row r="10" spans="1:28" ht="21" x14ac:dyDescent="0.4">
      <c r="A10">
        <v>9</v>
      </c>
      <c r="B10" t="s">
        <v>45</v>
      </c>
      <c r="C10" t="s">
        <v>13</v>
      </c>
      <c r="D10" t="s">
        <v>21</v>
      </c>
      <c r="E10">
        <v>48</v>
      </c>
      <c r="F10" s="6">
        <v>51306</v>
      </c>
      <c r="G10">
        <v>4</v>
      </c>
      <c r="H10" t="s">
        <v>281</v>
      </c>
      <c r="I10" t="s">
        <v>47</v>
      </c>
      <c r="J10" t="s">
        <v>300</v>
      </c>
      <c r="K10" t="s">
        <v>295</v>
      </c>
      <c r="L10" s="30" t="s">
        <v>48</v>
      </c>
      <c r="M10" s="2" t="s">
        <v>49</v>
      </c>
      <c r="N10" t="s">
        <v>31</v>
      </c>
      <c r="O10">
        <v>390868</v>
      </c>
      <c r="V10" s="34" t="s">
        <v>4</v>
      </c>
      <c r="W10" s="34">
        <f t="shared" si="0"/>
        <v>49</v>
      </c>
      <c r="AA10" s="39" t="s">
        <v>4</v>
      </c>
      <c r="AB10" s="40" cm="1">
        <f t="array" ref="AB10">_xlfn.XLOOKUP($AB$6,$M$1:$M$51,INDEX($A$1:$O$51,,MATCH($AA10,$A$1:$O$1,0)),"Wrong A/C No")</f>
        <v>40</v>
      </c>
    </row>
    <row r="11" spans="1:28" ht="21" x14ac:dyDescent="0.4">
      <c r="A11">
        <v>10</v>
      </c>
      <c r="B11" t="s">
        <v>50</v>
      </c>
      <c r="C11" t="s">
        <v>33</v>
      </c>
      <c r="D11" t="s">
        <v>14</v>
      </c>
      <c r="E11">
        <v>34</v>
      </c>
      <c r="F11" s="6">
        <v>0</v>
      </c>
      <c r="G11">
        <v>10</v>
      </c>
      <c r="H11" t="s">
        <v>282</v>
      </c>
      <c r="I11" t="s">
        <v>51</v>
      </c>
      <c r="J11" t="s">
        <v>301</v>
      </c>
      <c r="K11" t="s">
        <v>295</v>
      </c>
      <c r="L11" s="30" t="s">
        <v>52</v>
      </c>
      <c r="M11" s="2" t="s">
        <v>53</v>
      </c>
      <c r="N11" t="s">
        <v>18</v>
      </c>
      <c r="O11">
        <v>88985</v>
      </c>
      <c r="V11" s="34" t="s">
        <v>5</v>
      </c>
      <c r="W11" s="34">
        <f t="shared" si="0"/>
        <v>0</v>
      </c>
      <c r="AA11" s="41" t="s">
        <v>257</v>
      </c>
      <c r="AB11" s="40" cm="1">
        <f t="array" ref="AB11">_xlfn.XLOOKUP($AB$6,$M$1:$M$51,INDEX($A$1:$O$51,,MATCH($AA11,$A$1:$O$1,0)),"Wrong A/C No")</f>
        <v>24760</v>
      </c>
    </row>
    <row r="12" spans="1:28" ht="21" x14ac:dyDescent="0.4">
      <c r="A12">
        <v>11</v>
      </c>
      <c r="B12" t="s">
        <v>32</v>
      </c>
      <c r="C12" t="s">
        <v>20</v>
      </c>
      <c r="D12" t="s">
        <v>14</v>
      </c>
      <c r="E12">
        <v>56</v>
      </c>
      <c r="F12" s="6">
        <v>81133</v>
      </c>
      <c r="G12">
        <v>3</v>
      </c>
      <c r="H12" t="s">
        <v>281</v>
      </c>
      <c r="I12" t="s">
        <v>34</v>
      </c>
      <c r="J12" t="s">
        <v>299</v>
      </c>
      <c r="K12" t="s">
        <v>295</v>
      </c>
      <c r="L12" s="30">
        <v>0</v>
      </c>
      <c r="M12" s="2" t="s">
        <v>54</v>
      </c>
      <c r="N12" t="s">
        <v>31</v>
      </c>
      <c r="O12">
        <v>110685</v>
      </c>
      <c r="V12" s="34" t="s">
        <v>309</v>
      </c>
      <c r="W12" s="34">
        <f t="shared" si="0"/>
        <v>5</v>
      </c>
      <c r="AA12" s="39" t="s">
        <v>6</v>
      </c>
      <c r="AB12" s="40" cm="1">
        <f t="array" ref="AB12">_xlfn.XLOOKUP($AB$6,$M$1:$M$51,INDEX($A$1:$O$51,,MATCH($AA12,$A$1:$O$1,0)),"Wrong A/C No")</f>
        <v>15</v>
      </c>
    </row>
    <row r="13" spans="1:28" ht="21" x14ac:dyDescent="0.4">
      <c r="A13">
        <v>12</v>
      </c>
      <c r="B13" t="s">
        <v>59</v>
      </c>
      <c r="C13" t="s">
        <v>33</v>
      </c>
      <c r="D13" t="s">
        <v>21</v>
      </c>
      <c r="E13">
        <v>0</v>
      </c>
      <c r="F13" s="6">
        <v>53884</v>
      </c>
      <c r="G13">
        <v>6</v>
      </c>
      <c r="H13" t="s">
        <v>283</v>
      </c>
      <c r="I13" t="s">
        <v>60</v>
      </c>
      <c r="J13" t="s">
        <v>302</v>
      </c>
      <c r="K13" t="s">
        <v>295</v>
      </c>
      <c r="L13" s="30" t="s">
        <v>61</v>
      </c>
      <c r="M13" s="2" t="s">
        <v>62</v>
      </c>
      <c r="N13" t="s">
        <v>31</v>
      </c>
      <c r="O13">
        <v>367078</v>
      </c>
      <c r="AA13" s="39" t="s">
        <v>279</v>
      </c>
      <c r="AB13" s="40" t="str" cm="1">
        <f t="array" ref="AB13">_xlfn.XLOOKUP($AB$6,$M$1:$M$51,INDEX($A$1:$O$51,,MATCH($AA13,$A$1:$O$1,0)),"Wrong A/C No")</f>
        <v>Grade A</v>
      </c>
    </row>
    <row r="14" spans="1:28" ht="21" x14ac:dyDescent="0.4">
      <c r="A14">
        <v>13</v>
      </c>
      <c r="B14" t="s">
        <v>268</v>
      </c>
      <c r="C14" t="s">
        <v>26</v>
      </c>
      <c r="D14" t="s">
        <v>82</v>
      </c>
      <c r="E14">
        <v>31</v>
      </c>
      <c r="F14" s="6">
        <v>97923</v>
      </c>
      <c r="G14">
        <v>13</v>
      </c>
      <c r="H14" t="s">
        <v>282</v>
      </c>
      <c r="I14" t="s">
        <v>34</v>
      </c>
      <c r="J14" t="s">
        <v>299</v>
      </c>
      <c r="K14" t="s">
        <v>295</v>
      </c>
      <c r="L14" s="30" t="s">
        <v>63</v>
      </c>
      <c r="M14" s="2" t="s">
        <v>64</v>
      </c>
      <c r="N14" t="s">
        <v>18</v>
      </c>
      <c r="O14">
        <v>149044</v>
      </c>
      <c r="AA14" s="39" t="s">
        <v>7</v>
      </c>
      <c r="AB14" s="40" t="str" cm="1">
        <f t="array" ref="AB14">_xlfn.XLOOKUP($AB$6,$M$1:$M$51,INDEX($A$1:$O$51,,MATCH($AA14,$A$1:$O$1,0)),"Wrong A/C No")</f>
        <v>amit@company.com</v>
      </c>
    </row>
    <row r="15" spans="1:28" ht="21" x14ac:dyDescent="0.4">
      <c r="A15">
        <v>14</v>
      </c>
      <c r="B15" t="s">
        <v>59</v>
      </c>
      <c r="C15" t="s">
        <v>13</v>
      </c>
      <c r="D15" t="s">
        <v>21</v>
      </c>
      <c r="E15">
        <v>34</v>
      </c>
      <c r="F15" s="6">
        <v>73351</v>
      </c>
      <c r="G15">
        <v>12</v>
      </c>
      <c r="H15" t="s">
        <v>282</v>
      </c>
      <c r="I15" t="s">
        <v>60</v>
      </c>
      <c r="J15" t="s">
        <v>302</v>
      </c>
      <c r="K15" t="s">
        <v>295</v>
      </c>
      <c r="L15" s="30" t="s">
        <v>65</v>
      </c>
      <c r="M15" s="2" t="s">
        <v>66</v>
      </c>
      <c r="N15" t="s">
        <v>18</v>
      </c>
      <c r="O15">
        <v>495134</v>
      </c>
      <c r="AA15" s="39" t="s">
        <v>270</v>
      </c>
      <c r="AB15" s="40" t="str" cm="1">
        <f t="array" ref="AB15">_xlfn.XLOOKUP($AB$6,$M$1:$M$51,INDEX($A$1:$O$51,,MATCH($AA15,$A$1:$O$1,0)),"Wrong A/C No")</f>
        <v>amit</v>
      </c>
    </row>
    <row r="16" spans="1:28" ht="21" x14ac:dyDescent="0.4">
      <c r="A16">
        <v>15</v>
      </c>
      <c r="B16" t="s">
        <v>260</v>
      </c>
      <c r="C16" t="s">
        <v>26</v>
      </c>
      <c r="D16" t="s">
        <v>82</v>
      </c>
      <c r="E16">
        <v>48</v>
      </c>
      <c r="F16" s="6">
        <v>69125</v>
      </c>
      <c r="G16">
        <v>11</v>
      </c>
      <c r="H16" t="s">
        <v>282</v>
      </c>
      <c r="I16" t="s">
        <v>28</v>
      </c>
      <c r="J16" t="s">
        <v>298</v>
      </c>
      <c r="K16" t="s">
        <v>295</v>
      </c>
      <c r="L16" s="30" t="s">
        <v>83</v>
      </c>
      <c r="M16" s="2" t="s">
        <v>84</v>
      </c>
      <c r="N16" t="s">
        <v>18</v>
      </c>
      <c r="O16">
        <v>0</v>
      </c>
      <c r="AA16" s="39" t="s">
        <v>271</v>
      </c>
      <c r="AB16" s="40" t="str" cm="1">
        <f t="array" ref="AB16">_xlfn.XLOOKUP($AB$6,$M$1:$M$51,INDEX($A$1:$O$51,,MATCH($AA16,$A$1:$O$1,0)),"Wrong A/C No")</f>
        <v>company.com</v>
      </c>
    </row>
    <row r="17" spans="1:28" ht="21" x14ac:dyDescent="0.4">
      <c r="A17">
        <v>16</v>
      </c>
      <c r="B17" t="s">
        <v>262</v>
      </c>
      <c r="C17" t="s">
        <v>20</v>
      </c>
      <c r="D17" t="s">
        <v>39</v>
      </c>
      <c r="E17">
        <v>40</v>
      </c>
      <c r="F17" s="6">
        <v>24760</v>
      </c>
      <c r="G17">
        <v>15</v>
      </c>
      <c r="H17" t="s">
        <v>282</v>
      </c>
      <c r="I17" t="s">
        <v>56</v>
      </c>
      <c r="J17" t="s">
        <v>296</v>
      </c>
      <c r="K17" t="s">
        <v>295</v>
      </c>
      <c r="L17" s="30" t="s">
        <v>57</v>
      </c>
      <c r="M17" s="2" t="s">
        <v>58</v>
      </c>
      <c r="N17" t="s">
        <v>31</v>
      </c>
      <c r="O17">
        <v>0</v>
      </c>
      <c r="AA17" s="42" t="s">
        <v>8</v>
      </c>
      <c r="AB17" s="40" t="str" cm="1">
        <f t="array" ref="AB17">_xlfn.XLOOKUP($AB$6,$M$1:$M$51,INDEX($A$1:$O$51,,MATCH($AA17,$A$1:$O$1,0)),"Wrong A/C No")</f>
        <v>9446633245</v>
      </c>
    </row>
    <row r="18" spans="1:28" ht="21" x14ac:dyDescent="0.4">
      <c r="A18">
        <v>17</v>
      </c>
      <c r="B18" t="s">
        <v>19</v>
      </c>
      <c r="C18" t="s">
        <v>33</v>
      </c>
      <c r="D18" t="s">
        <v>27</v>
      </c>
      <c r="E18">
        <v>46</v>
      </c>
      <c r="F18" s="6">
        <v>58765</v>
      </c>
      <c r="G18">
        <v>15</v>
      </c>
      <c r="H18" t="s">
        <v>282</v>
      </c>
      <c r="I18" t="s">
        <v>22</v>
      </c>
      <c r="J18" t="s">
        <v>297</v>
      </c>
      <c r="K18" t="s">
        <v>295</v>
      </c>
      <c r="L18" s="30" t="s">
        <v>68</v>
      </c>
      <c r="M18" s="2" t="s">
        <v>69</v>
      </c>
      <c r="N18" t="s">
        <v>31</v>
      </c>
      <c r="O18">
        <v>449600</v>
      </c>
      <c r="AA18" s="43" t="s">
        <v>9</v>
      </c>
      <c r="AB18" s="40" t="str" cm="1">
        <f t="array" ref="AB18">_xlfn.XLOOKUP($AB$6,$M$1:$M$51,INDEX($A$1:$O$51,,MATCH($AA18,$A$1:$O$1,0)),"Wrong A/C No")</f>
        <v>1199445580</v>
      </c>
    </row>
    <row r="19" spans="1:28" ht="21" x14ac:dyDescent="0.4">
      <c r="A19">
        <v>18</v>
      </c>
      <c r="B19" t="s">
        <v>263</v>
      </c>
      <c r="C19" t="s">
        <v>92</v>
      </c>
      <c r="D19" t="s">
        <v>39</v>
      </c>
      <c r="E19">
        <v>22</v>
      </c>
      <c r="F19" s="6">
        <v>0</v>
      </c>
      <c r="G19">
        <v>13</v>
      </c>
      <c r="H19" t="s">
        <v>282</v>
      </c>
      <c r="I19" t="s">
        <v>51</v>
      </c>
      <c r="J19" t="s">
        <v>301</v>
      </c>
      <c r="K19" t="s">
        <v>295</v>
      </c>
      <c r="L19" s="30" t="s">
        <v>133</v>
      </c>
      <c r="M19" s="2" t="s">
        <v>134</v>
      </c>
      <c r="N19" t="s">
        <v>31</v>
      </c>
      <c r="O19">
        <v>0</v>
      </c>
      <c r="AA19" s="40" t="s">
        <v>305</v>
      </c>
      <c r="AB19" s="40" t="str" cm="1">
        <f t="array" ref="AB19">_xlfn.XLOOKUP($AB$6,$M$1:$M$51,INDEX($A$1:$O$51,,MATCH($AA19,$A$1:$O$1,0)),"Wrong A/C No")</f>
        <v>Current</v>
      </c>
    </row>
    <row r="20" spans="1:28" ht="21" x14ac:dyDescent="0.4">
      <c r="A20">
        <v>19</v>
      </c>
      <c r="B20" t="s">
        <v>262</v>
      </c>
      <c r="C20" t="s">
        <v>92</v>
      </c>
      <c r="D20" t="s">
        <v>39</v>
      </c>
      <c r="E20">
        <v>28</v>
      </c>
      <c r="F20" s="6">
        <v>56991</v>
      </c>
      <c r="G20">
        <v>8</v>
      </c>
      <c r="H20" t="s">
        <v>283</v>
      </c>
      <c r="I20" s="12" t="s">
        <v>56</v>
      </c>
      <c r="J20" t="s">
        <v>296</v>
      </c>
      <c r="K20" t="s">
        <v>295</v>
      </c>
      <c r="L20" s="30" t="s">
        <v>249</v>
      </c>
      <c r="M20" s="2" t="s">
        <v>250</v>
      </c>
      <c r="N20" t="s">
        <v>18</v>
      </c>
      <c r="O20">
        <v>0</v>
      </c>
      <c r="AA20" s="39" t="s">
        <v>267</v>
      </c>
      <c r="AB20" s="40" cm="1">
        <f t="array" ref="AB20">_xlfn.XLOOKUP($AB$6,$M$1:$M$51,INDEX($A$1:$O$51,,MATCH($AA20,$A$1:$O$1,0)),"Wrong A/C No")</f>
        <v>0</v>
      </c>
    </row>
    <row r="21" spans="1:28" x14ac:dyDescent="0.3">
      <c r="A21">
        <v>20</v>
      </c>
      <c r="B21" t="s">
        <v>260</v>
      </c>
      <c r="C21" t="s">
        <v>268</v>
      </c>
      <c r="D21" t="s">
        <v>27</v>
      </c>
      <c r="E21">
        <v>51</v>
      </c>
      <c r="F21" s="6">
        <v>87271</v>
      </c>
      <c r="G21">
        <v>1</v>
      </c>
      <c r="H21" t="s">
        <v>281</v>
      </c>
      <c r="I21" t="s">
        <v>28</v>
      </c>
      <c r="J21" t="s">
        <v>298</v>
      </c>
      <c r="K21" t="s">
        <v>295</v>
      </c>
      <c r="L21" s="30" t="s">
        <v>70</v>
      </c>
      <c r="M21" s="2" t="s">
        <v>71</v>
      </c>
      <c r="N21" t="s">
        <v>31</v>
      </c>
      <c r="O21">
        <v>496804</v>
      </c>
    </row>
    <row r="22" spans="1:28" x14ac:dyDescent="0.3">
      <c r="A22">
        <v>21</v>
      </c>
      <c r="B22" t="s">
        <v>19</v>
      </c>
      <c r="C22" t="s">
        <v>20</v>
      </c>
      <c r="D22" t="s">
        <v>14</v>
      </c>
      <c r="E22">
        <v>50</v>
      </c>
      <c r="F22" s="6">
        <v>0</v>
      </c>
      <c r="G22">
        <v>6</v>
      </c>
      <c r="H22" t="s">
        <v>283</v>
      </c>
      <c r="I22" t="s">
        <v>22</v>
      </c>
      <c r="J22" t="s">
        <v>297</v>
      </c>
      <c r="K22" t="s">
        <v>295</v>
      </c>
      <c r="L22" s="30" t="s">
        <v>72</v>
      </c>
      <c r="M22" s="2" t="s">
        <v>73</v>
      </c>
      <c r="N22" t="s">
        <v>31</v>
      </c>
      <c r="O22">
        <v>426614</v>
      </c>
    </row>
    <row r="23" spans="1:28" x14ac:dyDescent="0.3">
      <c r="A23">
        <v>22</v>
      </c>
      <c r="B23" t="s">
        <v>263</v>
      </c>
      <c r="C23" t="s">
        <v>20</v>
      </c>
      <c r="D23" t="s">
        <v>21</v>
      </c>
      <c r="E23">
        <v>51</v>
      </c>
      <c r="F23" s="6">
        <v>72895</v>
      </c>
      <c r="G23">
        <v>8</v>
      </c>
      <c r="H23" t="s">
        <v>283</v>
      </c>
      <c r="I23" t="s">
        <v>51</v>
      </c>
      <c r="J23" t="s">
        <v>301</v>
      </c>
      <c r="K23" t="s">
        <v>295</v>
      </c>
      <c r="L23" s="30" t="s">
        <v>193</v>
      </c>
      <c r="M23" s="2" t="s">
        <v>194</v>
      </c>
      <c r="N23" t="s">
        <v>18</v>
      </c>
      <c r="O23">
        <v>0</v>
      </c>
    </row>
    <row r="24" spans="1:28" x14ac:dyDescent="0.3">
      <c r="A24">
        <v>23</v>
      </c>
      <c r="B24" t="s">
        <v>75</v>
      </c>
      <c r="C24" t="s">
        <v>33</v>
      </c>
      <c r="D24" t="s">
        <v>14</v>
      </c>
      <c r="E24">
        <v>35</v>
      </c>
      <c r="F24" s="6">
        <v>89544</v>
      </c>
      <c r="G24">
        <v>2</v>
      </c>
      <c r="H24" t="s">
        <v>281</v>
      </c>
      <c r="I24" t="s">
        <v>56</v>
      </c>
      <c r="J24" t="s">
        <v>296</v>
      </c>
      <c r="K24" t="s">
        <v>295</v>
      </c>
      <c r="L24" s="30" t="s">
        <v>76</v>
      </c>
      <c r="M24" s="2" t="s">
        <v>77</v>
      </c>
      <c r="N24" t="s">
        <v>18</v>
      </c>
      <c r="O24">
        <v>474917</v>
      </c>
    </row>
    <row r="25" spans="1:28" ht="15.6" x14ac:dyDescent="0.3">
      <c r="A25">
        <v>24</v>
      </c>
      <c r="B25" t="s">
        <v>261</v>
      </c>
      <c r="C25" t="s">
        <v>13</v>
      </c>
      <c r="D25" t="s">
        <v>14</v>
      </c>
      <c r="E25">
        <v>57</v>
      </c>
      <c r="F25" s="6">
        <v>66972</v>
      </c>
      <c r="G25">
        <v>12</v>
      </c>
      <c r="H25" t="s">
        <v>282</v>
      </c>
      <c r="I25" t="s">
        <v>22</v>
      </c>
      <c r="J25" t="s">
        <v>297</v>
      </c>
      <c r="K25" t="s">
        <v>295</v>
      </c>
      <c r="L25" s="30" t="s">
        <v>153</v>
      </c>
      <c r="M25" s="2" t="s">
        <v>154</v>
      </c>
      <c r="N25" t="s">
        <v>31</v>
      </c>
      <c r="O25">
        <v>0</v>
      </c>
      <c r="U25" s="9"/>
    </row>
    <row r="26" spans="1:28" x14ac:dyDescent="0.3">
      <c r="A26">
        <v>25</v>
      </c>
      <c r="B26" t="s">
        <v>12</v>
      </c>
      <c r="C26" t="s">
        <v>13</v>
      </c>
      <c r="D26" t="s">
        <v>14</v>
      </c>
      <c r="E26">
        <v>48</v>
      </c>
      <c r="F26" s="6">
        <v>88337</v>
      </c>
      <c r="G26">
        <v>11</v>
      </c>
      <c r="H26" t="s">
        <v>282</v>
      </c>
      <c r="I26" t="s">
        <v>15</v>
      </c>
      <c r="J26" t="s">
        <v>294</v>
      </c>
      <c r="K26" t="s">
        <v>295</v>
      </c>
      <c r="L26" s="30" t="s">
        <v>80</v>
      </c>
      <c r="M26" s="2" t="s">
        <v>79</v>
      </c>
      <c r="N26" t="s">
        <v>18</v>
      </c>
      <c r="O26">
        <v>484342</v>
      </c>
    </row>
    <row r="27" spans="1:28" x14ac:dyDescent="0.3">
      <c r="A27">
        <v>26</v>
      </c>
      <c r="B27" t="s">
        <v>75</v>
      </c>
      <c r="C27" t="s">
        <v>20</v>
      </c>
      <c r="D27" t="s">
        <v>39</v>
      </c>
      <c r="E27">
        <v>39</v>
      </c>
      <c r="F27" s="6">
        <v>55709</v>
      </c>
      <c r="G27">
        <v>2</v>
      </c>
      <c r="H27" t="s">
        <v>281</v>
      </c>
      <c r="I27" t="s">
        <v>56</v>
      </c>
      <c r="J27" t="s">
        <v>296</v>
      </c>
      <c r="K27" t="s">
        <v>295</v>
      </c>
      <c r="L27" s="30" t="s">
        <v>212</v>
      </c>
      <c r="M27" s="2" t="s">
        <v>81</v>
      </c>
      <c r="N27" t="s">
        <v>31</v>
      </c>
      <c r="O27">
        <v>51315</v>
      </c>
    </row>
    <row r="28" spans="1:28" x14ac:dyDescent="0.3">
      <c r="A28">
        <v>27</v>
      </c>
      <c r="B28" t="s">
        <v>262</v>
      </c>
      <c r="C28" t="s">
        <v>268</v>
      </c>
      <c r="D28" t="s">
        <v>82</v>
      </c>
      <c r="E28">
        <v>40</v>
      </c>
      <c r="F28" s="6">
        <v>83340</v>
      </c>
      <c r="G28">
        <v>8</v>
      </c>
      <c r="H28" t="s">
        <v>283</v>
      </c>
      <c r="I28" t="s">
        <v>56</v>
      </c>
      <c r="J28" t="s">
        <v>296</v>
      </c>
      <c r="K28" t="s">
        <v>295</v>
      </c>
      <c r="L28" s="30" t="s">
        <v>86</v>
      </c>
      <c r="M28" s="2" t="s">
        <v>231</v>
      </c>
      <c r="N28" t="s">
        <v>31</v>
      </c>
      <c r="O28">
        <v>0</v>
      </c>
    </row>
    <row r="29" spans="1:28" x14ac:dyDescent="0.3">
      <c r="A29">
        <v>28</v>
      </c>
      <c r="B29" t="s">
        <v>261</v>
      </c>
      <c r="C29" t="s">
        <v>20</v>
      </c>
      <c r="D29" t="s">
        <v>82</v>
      </c>
      <c r="E29">
        <v>47</v>
      </c>
      <c r="F29" s="6">
        <v>0</v>
      </c>
      <c r="G29">
        <v>6</v>
      </c>
      <c r="H29" t="s">
        <v>283</v>
      </c>
      <c r="I29" t="s">
        <v>22</v>
      </c>
      <c r="J29" t="s">
        <v>297</v>
      </c>
      <c r="K29" t="s">
        <v>295</v>
      </c>
      <c r="L29" s="30" t="s">
        <v>88</v>
      </c>
      <c r="M29" s="2" t="s">
        <v>213</v>
      </c>
      <c r="N29" t="s">
        <v>18</v>
      </c>
      <c r="O29">
        <v>0</v>
      </c>
    </row>
    <row r="30" spans="1:28" x14ac:dyDescent="0.3">
      <c r="A30">
        <v>29</v>
      </c>
      <c r="B30" t="s">
        <v>32</v>
      </c>
      <c r="C30" t="s">
        <v>26</v>
      </c>
      <c r="D30" t="s">
        <v>21</v>
      </c>
      <c r="E30">
        <v>29</v>
      </c>
      <c r="F30" s="6">
        <v>79594</v>
      </c>
      <c r="G30">
        <v>0</v>
      </c>
      <c r="H30" t="s">
        <v>281</v>
      </c>
      <c r="I30" t="s">
        <v>34</v>
      </c>
      <c r="J30" t="s">
        <v>299</v>
      </c>
      <c r="K30" t="s">
        <v>295</v>
      </c>
      <c r="L30" s="30" t="s">
        <v>90</v>
      </c>
      <c r="M30" s="2" t="s">
        <v>87</v>
      </c>
      <c r="N30" t="s">
        <v>18</v>
      </c>
      <c r="O30">
        <v>212327</v>
      </c>
    </row>
    <row r="31" spans="1:28" x14ac:dyDescent="0.3">
      <c r="A31">
        <v>30</v>
      </c>
      <c r="B31" t="s">
        <v>59</v>
      </c>
      <c r="C31" t="s">
        <v>26</v>
      </c>
      <c r="D31" t="s">
        <v>82</v>
      </c>
      <c r="E31">
        <v>0</v>
      </c>
      <c r="F31" s="6">
        <v>79891</v>
      </c>
      <c r="G31">
        <v>8</v>
      </c>
      <c r="H31" t="s">
        <v>283</v>
      </c>
      <c r="I31" t="s">
        <v>60</v>
      </c>
      <c r="J31" t="s">
        <v>302</v>
      </c>
      <c r="K31" t="s">
        <v>295</v>
      </c>
      <c r="L31" s="30" t="s">
        <v>94</v>
      </c>
      <c r="M31" s="2" t="s">
        <v>89</v>
      </c>
      <c r="N31" t="s">
        <v>18</v>
      </c>
      <c r="O31">
        <v>338934</v>
      </c>
    </row>
    <row r="32" spans="1:28" x14ac:dyDescent="0.3">
      <c r="A32">
        <v>31</v>
      </c>
      <c r="B32" t="s">
        <v>25</v>
      </c>
      <c r="C32" t="s">
        <v>13</v>
      </c>
      <c r="D32" t="s">
        <v>14</v>
      </c>
      <c r="E32">
        <v>59</v>
      </c>
      <c r="F32" s="6">
        <v>28803</v>
      </c>
      <c r="G32">
        <v>9</v>
      </c>
      <c r="H32" t="s">
        <v>282</v>
      </c>
      <c r="I32" t="s">
        <v>28</v>
      </c>
      <c r="J32" t="s">
        <v>298</v>
      </c>
      <c r="K32" t="s">
        <v>295</v>
      </c>
      <c r="L32" s="30" t="s">
        <v>98</v>
      </c>
      <c r="M32" s="2" t="s">
        <v>91</v>
      </c>
      <c r="N32" t="s">
        <v>31</v>
      </c>
      <c r="O32">
        <v>376847</v>
      </c>
    </row>
    <row r="33" spans="1:15" x14ac:dyDescent="0.3">
      <c r="A33">
        <v>32</v>
      </c>
      <c r="B33" t="s">
        <v>268</v>
      </c>
      <c r="C33" t="s">
        <v>92</v>
      </c>
      <c r="D33" t="s">
        <v>14</v>
      </c>
      <c r="E33">
        <v>30</v>
      </c>
      <c r="F33" s="6">
        <v>0</v>
      </c>
      <c r="G33">
        <v>9</v>
      </c>
      <c r="H33" t="s">
        <v>282</v>
      </c>
      <c r="I33" t="s">
        <v>93</v>
      </c>
      <c r="J33" t="s">
        <v>303</v>
      </c>
      <c r="K33" t="s">
        <v>295</v>
      </c>
      <c r="L33" s="30" t="s">
        <v>100</v>
      </c>
      <c r="M33" s="2" t="s">
        <v>95</v>
      </c>
      <c r="N33" t="s">
        <v>18</v>
      </c>
      <c r="O33">
        <v>327214</v>
      </c>
    </row>
    <row r="34" spans="1:15" x14ac:dyDescent="0.3">
      <c r="A34">
        <v>33</v>
      </c>
      <c r="B34" t="s">
        <v>264</v>
      </c>
      <c r="C34" t="s">
        <v>13</v>
      </c>
      <c r="D34" t="s">
        <v>39</v>
      </c>
      <c r="E34">
        <v>38</v>
      </c>
      <c r="F34" s="6">
        <v>75773</v>
      </c>
      <c r="G34">
        <v>10</v>
      </c>
      <c r="H34" t="s">
        <v>282</v>
      </c>
      <c r="I34" t="s">
        <v>97</v>
      </c>
      <c r="J34" t="s">
        <v>304</v>
      </c>
      <c r="K34" t="s">
        <v>295</v>
      </c>
      <c r="L34" s="30" t="s">
        <v>105</v>
      </c>
      <c r="M34" s="2" t="s">
        <v>99</v>
      </c>
      <c r="N34" t="s">
        <v>31</v>
      </c>
      <c r="O34">
        <v>342488</v>
      </c>
    </row>
    <row r="35" spans="1:15" x14ac:dyDescent="0.3">
      <c r="A35">
        <v>34</v>
      </c>
      <c r="B35" t="s">
        <v>50</v>
      </c>
      <c r="C35" t="s">
        <v>20</v>
      </c>
      <c r="D35" t="s">
        <v>39</v>
      </c>
      <c r="E35">
        <v>27</v>
      </c>
      <c r="F35" s="6">
        <v>46399</v>
      </c>
      <c r="G35">
        <v>10</v>
      </c>
      <c r="H35" t="s">
        <v>282</v>
      </c>
      <c r="I35" t="s">
        <v>51</v>
      </c>
      <c r="J35" t="s">
        <v>301</v>
      </c>
      <c r="K35" t="s">
        <v>295</v>
      </c>
      <c r="L35" s="30" t="s">
        <v>107</v>
      </c>
      <c r="M35" s="2" t="s">
        <v>101</v>
      </c>
      <c r="N35" t="s">
        <v>31</v>
      </c>
      <c r="O35">
        <v>258748</v>
      </c>
    </row>
    <row r="36" spans="1:15" x14ac:dyDescent="0.3">
      <c r="A36">
        <v>35</v>
      </c>
      <c r="B36" t="s">
        <v>102</v>
      </c>
      <c r="C36" t="s">
        <v>92</v>
      </c>
      <c r="D36" t="s">
        <v>21</v>
      </c>
      <c r="E36">
        <v>38</v>
      </c>
      <c r="F36" s="6">
        <v>99758</v>
      </c>
      <c r="G36">
        <v>13</v>
      </c>
      <c r="H36" t="s">
        <v>282</v>
      </c>
      <c r="I36" t="s">
        <v>93</v>
      </c>
      <c r="J36" t="s">
        <v>303</v>
      </c>
      <c r="K36" t="s">
        <v>295</v>
      </c>
      <c r="L36" s="30" t="s">
        <v>113</v>
      </c>
      <c r="M36" s="2" t="s">
        <v>103</v>
      </c>
      <c r="N36" t="s">
        <v>18</v>
      </c>
      <c r="O36">
        <v>246798</v>
      </c>
    </row>
    <row r="37" spans="1:15" x14ac:dyDescent="0.3">
      <c r="A37">
        <v>41</v>
      </c>
      <c r="B37" t="s">
        <v>119</v>
      </c>
      <c r="C37" t="s">
        <v>13</v>
      </c>
      <c r="D37" t="s">
        <v>27</v>
      </c>
      <c r="E37">
        <v>46</v>
      </c>
      <c r="F37" s="6">
        <v>50000</v>
      </c>
      <c r="G37">
        <v>0</v>
      </c>
      <c r="H37" t="s">
        <v>281</v>
      </c>
      <c r="I37" t="s">
        <v>97</v>
      </c>
      <c r="J37" t="s">
        <v>304</v>
      </c>
      <c r="K37" t="s">
        <v>295</v>
      </c>
      <c r="L37" s="30" t="s">
        <v>128</v>
      </c>
      <c r="M37" s="2" t="s">
        <v>121</v>
      </c>
      <c r="N37" t="s">
        <v>18</v>
      </c>
      <c r="O37">
        <v>393525</v>
      </c>
    </row>
    <row r="38" spans="1:15" x14ac:dyDescent="0.3">
      <c r="A38">
        <v>51</v>
      </c>
      <c r="B38" t="s">
        <v>260</v>
      </c>
      <c r="C38" t="s">
        <v>268</v>
      </c>
      <c r="D38" t="s">
        <v>21</v>
      </c>
      <c r="E38">
        <v>27</v>
      </c>
      <c r="F38" s="6">
        <v>95185</v>
      </c>
      <c r="G38">
        <v>14</v>
      </c>
      <c r="H38" t="s">
        <v>282</v>
      </c>
      <c r="I38" t="s">
        <v>28</v>
      </c>
      <c r="J38" t="s">
        <v>298</v>
      </c>
      <c r="K38" t="s">
        <v>295</v>
      </c>
      <c r="L38" s="30" t="s">
        <v>155</v>
      </c>
      <c r="M38" s="2" t="s">
        <v>143</v>
      </c>
      <c r="N38" t="s">
        <v>31</v>
      </c>
      <c r="O38">
        <v>32182</v>
      </c>
    </row>
    <row r="39" spans="1:15" x14ac:dyDescent="0.3">
      <c r="A39">
        <v>53</v>
      </c>
      <c r="B39" t="s">
        <v>59</v>
      </c>
      <c r="C39" t="s">
        <v>13</v>
      </c>
      <c r="D39" t="s">
        <v>21</v>
      </c>
      <c r="E39">
        <v>47</v>
      </c>
      <c r="F39" s="6">
        <v>69301</v>
      </c>
      <c r="G39">
        <v>4</v>
      </c>
      <c r="H39" t="s">
        <v>281</v>
      </c>
      <c r="I39" t="s">
        <v>60</v>
      </c>
      <c r="J39" t="s">
        <v>302</v>
      </c>
      <c r="K39" t="s">
        <v>295</v>
      </c>
      <c r="L39" s="30" t="s">
        <v>159</v>
      </c>
      <c r="M39" s="2" t="s">
        <v>147</v>
      </c>
      <c r="N39" t="s">
        <v>31</v>
      </c>
      <c r="O39">
        <v>355525</v>
      </c>
    </row>
    <row r="40" spans="1:15" x14ac:dyDescent="0.3">
      <c r="A40">
        <v>54</v>
      </c>
      <c r="B40" t="s">
        <v>268</v>
      </c>
      <c r="C40" t="s">
        <v>92</v>
      </c>
      <c r="D40" t="s">
        <v>39</v>
      </c>
      <c r="E40">
        <v>23</v>
      </c>
      <c r="F40" s="6">
        <v>0</v>
      </c>
      <c r="G40">
        <v>2</v>
      </c>
      <c r="H40" t="s">
        <v>281</v>
      </c>
      <c r="I40" t="s">
        <v>51</v>
      </c>
      <c r="J40" t="s">
        <v>301</v>
      </c>
      <c r="K40" t="s">
        <v>295</v>
      </c>
      <c r="L40" s="30" t="s">
        <v>164</v>
      </c>
      <c r="M40" s="2" t="s">
        <v>150</v>
      </c>
      <c r="N40" t="s">
        <v>18</v>
      </c>
      <c r="O40">
        <v>19735</v>
      </c>
    </row>
    <row r="41" spans="1:15" x14ac:dyDescent="0.3">
      <c r="A41">
        <v>61</v>
      </c>
      <c r="B41" t="s">
        <v>12</v>
      </c>
      <c r="C41" t="s">
        <v>92</v>
      </c>
      <c r="D41" t="s">
        <v>39</v>
      </c>
      <c r="E41">
        <v>49</v>
      </c>
      <c r="F41" s="6">
        <v>0</v>
      </c>
      <c r="G41">
        <v>5</v>
      </c>
      <c r="H41" t="s">
        <v>283</v>
      </c>
      <c r="I41" t="s">
        <v>15</v>
      </c>
      <c r="J41" t="s">
        <v>294</v>
      </c>
      <c r="K41" t="s">
        <v>295</v>
      </c>
      <c r="L41" s="30" t="s">
        <v>181</v>
      </c>
      <c r="M41" s="2" t="s">
        <v>167</v>
      </c>
      <c r="N41" t="s">
        <v>31</v>
      </c>
      <c r="O41">
        <v>495327</v>
      </c>
    </row>
    <row r="42" spans="1:15" x14ac:dyDescent="0.3">
      <c r="A42">
        <v>68</v>
      </c>
      <c r="B42" t="s">
        <v>75</v>
      </c>
      <c r="C42" t="s">
        <v>92</v>
      </c>
      <c r="D42" t="s">
        <v>39</v>
      </c>
      <c r="E42">
        <v>41</v>
      </c>
      <c r="F42" s="6">
        <v>0</v>
      </c>
      <c r="G42">
        <v>4</v>
      </c>
      <c r="H42" t="s">
        <v>281</v>
      </c>
      <c r="I42" t="s">
        <v>56</v>
      </c>
      <c r="J42" t="s">
        <v>296</v>
      </c>
      <c r="K42" t="s">
        <v>295</v>
      </c>
      <c r="L42" s="30" t="s">
        <v>198</v>
      </c>
      <c r="M42" s="2" t="s">
        <v>182</v>
      </c>
      <c r="N42" t="s">
        <v>18</v>
      </c>
      <c r="O42">
        <v>87557</v>
      </c>
    </row>
    <row r="43" spans="1:15" x14ac:dyDescent="0.3">
      <c r="A43">
        <v>69</v>
      </c>
      <c r="B43" t="s">
        <v>261</v>
      </c>
      <c r="C43" t="s">
        <v>92</v>
      </c>
      <c r="D43" t="s">
        <v>82</v>
      </c>
      <c r="E43">
        <v>22</v>
      </c>
      <c r="F43" s="6">
        <v>26614</v>
      </c>
      <c r="G43">
        <v>0</v>
      </c>
      <c r="H43" t="s">
        <v>281</v>
      </c>
      <c r="I43" t="s">
        <v>22</v>
      </c>
      <c r="J43" t="s">
        <v>297</v>
      </c>
      <c r="K43" t="s">
        <v>295</v>
      </c>
      <c r="L43" s="30" t="s">
        <v>200</v>
      </c>
      <c r="M43" s="2" t="s">
        <v>184</v>
      </c>
      <c r="N43" t="s">
        <v>31</v>
      </c>
      <c r="O43">
        <v>143780</v>
      </c>
    </row>
    <row r="44" spans="1:15" x14ac:dyDescent="0.3">
      <c r="A44">
        <v>73</v>
      </c>
      <c r="B44" t="s">
        <v>50</v>
      </c>
      <c r="C44" t="s">
        <v>33</v>
      </c>
      <c r="D44" t="s">
        <v>27</v>
      </c>
      <c r="E44">
        <v>51</v>
      </c>
      <c r="F44" s="6">
        <v>84210</v>
      </c>
      <c r="G44">
        <v>4</v>
      </c>
      <c r="H44" t="s">
        <v>281</v>
      </c>
      <c r="I44" t="s">
        <v>51</v>
      </c>
      <c r="J44" t="s">
        <v>301</v>
      </c>
      <c r="K44" t="s">
        <v>295</v>
      </c>
      <c r="L44" s="30" t="s">
        <v>208</v>
      </c>
      <c r="M44" s="2" t="s">
        <v>192</v>
      </c>
      <c r="N44" t="s">
        <v>18</v>
      </c>
      <c r="O44">
        <v>154126</v>
      </c>
    </row>
    <row r="45" spans="1:15" x14ac:dyDescent="0.3">
      <c r="A45">
        <v>75</v>
      </c>
      <c r="B45" t="s">
        <v>268</v>
      </c>
      <c r="C45" t="s">
        <v>13</v>
      </c>
      <c r="D45" t="s">
        <v>82</v>
      </c>
      <c r="E45">
        <v>46</v>
      </c>
      <c r="F45" s="6">
        <v>0</v>
      </c>
      <c r="G45">
        <v>5</v>
      </c>
      <c r="H45" t="s">
        <v>283</v>
      </c>
      <c r="I45" t="s">
        <v>34</v>
      </c>
      <c r="J45" t="s">
        <v>299</v>
      </c>
      <c r="K45" t="s">
        <v>295</v>
      </c>
      <c r="L45" s="30" t="s">
        <v>215</v>
      </c>
      <c r="M45" s="2" t="s">
        <v>197</v>
      </c>
      <c r="N45" t="s">
        <v>31</v>
      </c>
      <c r="O45">
        <v>407043</v>
      </c>
    </row>
    <row r="46" spans="1:15" x14ac:dyDescent="0.3">
      <c r="A46">
        <v>81</v>
      </c>
      <c r="B46" t="s">
        <v>19</v>
      </c>
      <c r="C46" t="s">
        <v>92</v>
      </c>
      <c r="D46" t="s">
        <v>82</v>
      </c>
      <c r="E46">
        <v>24</v>
      </c>
      <c r="F46" s="6">
        <v>66339</v>
      </c>
      <c r="G46">
        <v>13</v>
      </c>
      <c r="H46" t="s">
        <v>282</v>
      </c>
      <c r="I46" t="s">
        <v>22</v>
      </c>
      <c r="J46" t="s">
        <v>297</v>
      </c>
      <c r="K46" t="s">
        <v>295</v>
      </c>
      <c r="L46" s="30" t="s">
        <v>227</v>
      </c>
      <c r="M46" s="2" t="s">
        <v>209</v>
      </c>
      <c r="N46" t="s">
        <v>18</v>
      </c>
      <c r="O46">
        <v>102760</v>
      </c>
    </row>
    <row r="47" spans="1:15" x14ac:dyDescent="0.3">
      <c r="A47">
        <v>82</v>
      </c>
      <c r="B47" t="s">
        <v>119</v>
      </c>
      <c r="C47" t="s">
        <v>20</v>
      </c>
      <c r="D47" t="s">
        <v>21</v>
      </c>
      <c r="E47">
        <v>53</v>
      </c>
      <c r="F47" s="6">
        <v>62338</v>
      </c>
      <c r="G47">
        <v>5</v>
      </c>
      <c r="H47" t="s">
        <v>283</v>
      </c>
      <c r="I47" t="s">
        <v>97</v>
      </c>
      <c r="J47" t="s">
        <v>304</v>
      </c>
      <c r="K47" t="s">
        <v>295</v>
      </c>
      <c r="L47" s="30" t="s">
        <v>229</v>
      </c>
      <c r="M47" s="2" t="s">
        <v>211</v>
      </c>
      <c r="N47" t="s">
        <v>18</v>
      </c>
      <c r="O47">
        <v>435412</v>
      </c>
    </row>
    <row r="48" spans="1:15" x14ac:dyDescent="0.3">
      <c r="A48">
        <v>84</v>
      </c>
      <c r="B48" t="s">
        <v>102</v>
      </c>
      <c r="C48" t="s">
        <v>20</v>
      </c>
      <c r="D48" t="s">
        <v>39</v>
      </c>
      <c r="E48">
        <v>31</v>
      </c>
      <c r="F48" s="6">
        <v>40006</v>
      </c>
      <c r="G48">
        <v>7</v>
      </c>
      <c r="H48" t="s">
        <v>283</v>
      </c>
      <c r="I48" t="s">
        <v>93</v>
      </c>
      <c r="J48" t="s">
        <v>303</v>
      </c>
      <c r="K48" t="s">
        <v>295</v>
      </c>
      <c r="L48" s="30" t="s">
        <v>234</v>
      </c>
      <c r="M48" s="2" t="s">
        <v>216</v>
      </c>
      <c r="N48" t="s">
        <v>18</v>
      </c>
      <c r="O48">
        <v>136347</v>
      </c>
    </row>
    <row r="49" spans="1:15" ht="15.6" x14ac:dyDescent="0.3">
      <c r="A49">
        <v>89</v>
      </c>
      <c r="B49" t="s">
        <v>45</v>
      </c>
      <c r="C49" t="s">
        <v>26</v>
      </c>
      <c r="D49" t="s">
        <v>39</v>
      </c>
      <c r="E49" s="17">
        <v>55</v>
      </c>
      <c r="F49" s="6">
        <v>43827</v>
      </c>
      <c r="G49">
        <v>12</v>
      </c>
      <c r="H49" t="s">
        <v>282</v>
      </c>
      <c r="I49" t="s">
        <v>47</v>
      </c>
      <c r="J49" t="s">
        <v>300</v>
      </c>
      <c r="K49" t="s">
        <v>295</v>
      </c>
      <c r="L49" s="30" t="s">
        <v>244</v>
      </c>
      <c r="M49" s="2" t="s">
        <v>226</v>
      </c>
      <c r="N49" t="s">
        <v>31</v>
      </c>
      <c r="O49">
        <v>176572</v>
      </c>
    </row>
    <row r="50" spans="1:15" x14ac:dyDescent="0.3">
      <c r="A50">
        <v>95</v>
      </c>
      <c r="B50" t="s">
        <v>19</v>
      </c>
      <c r="C50" t="s">
        <v>33</v>
      </c>
      <c r="D50" t="s">
        <v>82</v>
      </c>
      <c r="E50">
        <v>31</v>
      </c>
      <c r="F50" s="6">
        <v>27018</v>
      </c>
      <c r="G50">
        <v>7</v>
      </c>
      <c r="H50" t="s">
        <v>283</v>
      </c>
      <c r="I50" t="s">
        <v>22</v>
      </c>
      <c r="J50" t="s">
        <v>297</v>
      </c>
      <c r="K50" t="s">
        <v>295</v>
      </c>
      <c r="L50" s="30">
        <v>0</v>
      </c>
      <c r="M50" s="2" t="s">
        <v>239</v>
      </c>
      <c r="N50" t="s">
        <v>31</v>
      </c>
      <c r="O50">
        <v>154990</v>
      </c>
    </row>
    <row r="51" spans="1:15" x14ac:dyDescent="0.3">
      <c r="A51">
        <v>96</v>
      </c>
      <c r="B51" t="s">
        <v>261</v>
      </c>
      <c r="C51" t="s">
        <v>26</v>
      </c>
      <c r="D51" t="s">
        <v>39</v>
      </c>
      <c r="E51">
        <v>24</v>
      </c>
      <c r="F51" s="6">
        <v>65376</v>
      </c>
      <c r="G51">
        <v>5</v>
      </c>
      <c r="H51" t="s">
        <v>283</v>
      </c>
      <c r="I51" t="s">
        <v>22</v>
      </c>
      <c r="J51" t="s">
        <v>297</v>
      </c>
      <c r="K51" t="s">
        <v>295</v>
      </c>
      <c r="L51" s="30">
        <v>0</v>
      </c>
      <c r="M51" s="2" t="s">
        <v>241</v>
      </c>
      <c r="N51" t="s">
        <v>31</v>
      </c>
      <c r="O51">
        <v>403306</v>
      </c>
    </row>
  </sheetData>
  <conditionalFormatting sqref="C2:C51">
    <cfRule type="expression" dxfId="1" priority="5">
      <formula>$D2=$Q$3</formula>
    </cfRule>
  </conditionalFormatting>
  <hyperlinks>
    <hyperlink ref="I2" r:id="rId1" xr:uid="{E9412185-F328-4561-9665-876870DAFA08}"/>
    <hyperlink ref="I3" r:id="rId2" xr:uid="{27612668-6FE7-45B2-AD7B-4CE1E6BB14E8}"/>
    <hyperlink ref="I20" r:id="rId3" xr:uid="{1B5C15D5-6C19-4DBC-ADD1-39F7CF253B5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ADA6-D0FF-4A18-8384-33B60854D24F}">
  <dimension ref="A1:AI46"/>
  <sheetViews>
    <sheetView zoomScale="31" zoomScaleNormal="85" workbookViewId="0">
      <selection activeCell="W62" sqref="W62"/>
    </sheetView>
  </sheetViews>
  <sheetFormatPr defaultRowHeight="14.4" x14ac:dyDescent="0.3"/>
  <cols>
    <col min="1" max="1" width="23" customWidth="1"/>
    <col min="2" max="13" width="21.21875" customWidth="1"/>
    <col min="14" max="16" width="24.5546875" customWidth="1"/>
    <col min="23" max="23" width="20.6640625" customWidth="1"/>
    <col min="24" max="35" width="19.21875" customWidth="1"/>
  </cols>
  <sheetData>
    <row r="1" spans="1:35" ht="21" x14ac:dyDescent="0.4">
      <c r="A1" s="31" t="s">
        <v>364</v>
      </c>
      <c r="B1" s="31"/>
      <c r="W1" s="31" t="s">
        <v>363</v>
      </c>
    </row>
    <row r="2" spans="1:35" ht="15.6" x14ac:dyDescent="0.3">
      <c r="A2" s="25" t="s">
        <v>306</v>
      </c>
      <c r="B2" s="25" t="s">
        <v>259</v>
      </c>
      <c r="C2" s="25" t="s">
        <v>258</v>
      </c>
      <c r="D2" s="25" t="s">
        <v>266</v>
      </c>
      <c r="E2" s="25" t="s">
        <v>4</v>
      </c>
      <c r="F2" s="26" t="s">
        <v>257</v>
      </c>
      <c r="G2" s="25" t="s">
        <v>6</v>
      </c>
      <c r="H2" s="25" t="s">
        <v>279</v>
      </c>
      <c r="I2" s="25" t="s">
        <v>7</v>
      </c>
      <c r="J2" s="27" t="s">
        <v>8</v>
      </c>
      <c r="K2" s="28" t="s">
        <v>9</v>
      </c>
      <c r="L2" s="17" t="s">
        <v>305</v>
      </c>
      <c r="M2" s="29" t="s">
        <v>267</v>
      </c>
      <c r="W2" s="25" t="s">
        <v>306</v>
      </c>
      <c r="X2" s="25" t="s">
        <v>259</v>
      </c>
      <c r="Y2" s="25" t="s">
        <v>258</v>
      </c>
      <c r="Z2" s="25" t="s">
        <v>266</v>
      </c>
      <c r="AA2" s="25" t="s">
        <v>4</v>
      </c>
      <c r="AB2" s="26" t="s">
        <v>257</v>
      </c>
      <c r="AC2" s="25" t="s">
        <v>6</v>
      </c>
      <c r="AD2" s="25" t="s">
        <v>279</v>
      </c>
      <c r="AE2" s="25" t="s">
        <v>7</v>
      </c>
      <c r="AF2" s="27" t="s">
        <v>8</v>
      </c>
      <c r="AG2" s="28" t="s">
        <v>9</v>
      </c>
      <c r="AH2" s="17" t="s">
        <v>305</v>
      </c>
      <c r="AI2" s="29" t="s">
        <v>267</v>
      </c>
    </row>
    <row r="3" spans="1:35" x14ac:dyDescent="0.3">
      <c r="A3">
        <v>2</v>
      </c>
      <c r="B3" t="s">
        <v>269</v>
      </c>
      <c r="C3" t="s">
        <v>268</v>
      </c>
      <c r="D3" t="s">
        <v>27</v>
      </c>
      <c r="E3">
        <v>25</v>
      </c>
      <c r="F3" s="6">
        <v>32975</v>
      </c>
      <c r="G3">
        <v>4</v>
      </c>
      <c r="H3" t="s">
        <v>281</v>
      </c>
      <c r="I3" s="12" t="s">
        <v>56</v>
      </c>
      <c r="J3" s="30" t="s">
        <v>174</v>
      </c>
      <c r="K3" s="2" t="s">
        <v>175</v>
      </c>
      <c r="L3" t="s">
        <v>31</v>
      </c>
      <c r="M3">
        <v>0</v>
      </c>
      <c r="W3">
        <v>1</v>
      </c>
      <c r="X3" t="s">
        <v>12</v>
      </c>
      <c r="Y3" t="s">
        <v>13</v>
      </c>
      <c r="Z3" t="s">
        <v>14</v>
      </c>
      <c r="AA3">
        <v>48</v>
      </c>
      <c r="AB3" s="6">
        <v>64609</v>
      </c>
      <c r="AC3">
        <v>1</v>
      </c>
      <c r="AD3" t="s">
        <v>281</v>
      </c>
      <c r="AE3" s="12" t="s">
        <v>15</v>
      </c>
      <c r="AF3" s="30" t="s">
        <v>16</v>
      </c>
      <c r="AG3" s="2" t="s">
        <v>17</v>
      </c>
      <c r="AH3" t="s">
        <v>18</v>
      </c>
      <c r="AI3">
        <v>177930</v>
      </c>
    </row>
    <row r="4" spans="1:35" x14ac:dyDescent="0.3">
      <c r="A4">
        <v>4</v>
      </c>
      <c r="B4" t="s">
        <v>25</v>
      </c>
      <c r="C4" t="s">
        <v>26</v>
      </c>
      <c r="D4" t="s">
        <v>27</v>
      </c>
      <c r="E4">
        <v>31</v>
      </c>
      <c r="F4" s="6">
        <v>33644</v>
      </c>
      <c r="G4">
        <v>1</v>
      </c>
      <c r="H4" t="s">
        <v>281</v>
      </c>
      <c r="I4" t="s">
        <v>28</v>
      </c>
      <c r="J4" s="30" t="s">
        <v>29</v>
      </c>
      <c r="K4" s="2" t="s">
        <v>30</v>
      </c>
      <c r="L4" t="s">
        <v>31</v>
      </c>
      <c r="M4">
        <v>499167</v>
      </c>
      <c r="W4">
        <v>3</v>
      </c>
      <c r="X4" t="s">
        <v>19</v>
      </c>
      <c r="Y4" t="s">
        <v>20</v>
      </c>
      <c r="Z4" t="s">
        <v>21</v>
      </c>
      <c r="AA4">
        <v>32</v>
      </c>
      <c r="AB4" s="6">
        <v>91565</v>
      </c>
      <c r="AC4">
        <v>0</v>
      </c>
      <c r="AD4" t="s">
        <v>281</v>
      </c>
      <c r="AE4" t="s">
        <v>22</v>
      </c>
      <c r="AF4" s="30" t="s">
        <v>23</v>
      </c>
      <c r="AG4" s="2" t="s">
        <v>24</v>
      </c>
      <c r="AH4" t="s">
        <v>18</v>
      </c>
      <c r="AI4">
        <v>277805</v>
      </c>
    </row>
    <row r="5" spans="1:35" x14ac:dyDescent="0.3">
      <c r="A5">
        <v>8</v>
      </c>
      <c r="B5" t="s">
        <v>12</v>
      </c>
      <c r="C5" t="s">
        <v>20</v>
      </c>
      <c r="D5" t="s">
        <v>82</v>
      </c>
      <c r="E5">
        <v>38</v>
      </c>
      <c r="F5" s="6">
        <v>99095</v>
      </c>
      <c r="G5">
        <v>7</v>
      </c>
      <c r="H5" t="s">
        <v>283</v>
      </c>
      <c r="I5" t="s">
        <v>15</v>
      </c>
      <c r="J5" s="30" t="s">
        <v>43</v>
      </c>
      <c r="K5" s="2" t="s">
        <v>44</v>
      </c>
      <c r="L5" t="s">
        <v>31</v>
      </c>
      <c r="M5">
        <v>146472</v>
      </c>
      <c r="W5">
        <v>5</v>
      </c>
      <c r="X5" t="s">
        <v>32</v>
      </c>
      <c r="Y5" t="s">
        <v>33</v>
      </c>
      <c r="Z5" t="s">
        <v>21</v>
      </c>
      <c r="AA5">
        <v>44</v>
      </c>
      <c r="AB5" s="6">
        <v>95843</v>
      </c>
      <c r="AC5">
        <v>0</v>
      </c>
      <c r="AD5" t="s">
        <v>281</v>
      </c>
      <c r="AE5" t="s">
        <v>34</v>
      </c>
      <c r="AF5" s="30" t="s">
        <v>35</v>
      </c>
      <c r="AG5" s="2" t="s">
        <v>36</v>
      </c>
      <c r="AH5" t="s">
        <v>18</v>
      </c>
      <c r="AI5">
        <v>233260</v>
      </c>
    </row>
    <row r="6" spans="1:35" x14ac:dyDescent="0.3">
      <c r="A6">
        <v>9</v>
      </c>
      <c r="B6" t="s">
        <v>45</v>
      </c>
      <c r="C6" t="s">
        <v>13</v>
      </c>
      <c r="D6" t="s">
        <v>21</v>
      </c>
      <c r="E6">
        <v>48</v>
      </c>
      <c r="F6" s="6">
        <v>51306</v>
      </c>
      <c r="G6">
        <v>4</v>
      </c>
      <c r="H6" t="s">
        <v>281</v>
      </c>
      <c r="I6" t="s">
        <v>47</v>
      </c>
      <c r="J6" s="30" t="s">
        <v>48</v>
      </c>
      <c r="K6" s="2" t="s">
        <v>49</v>
      </c>
      <c r="L6" t="s">
        <v>31</v>
      </c>
      <c r="M6">
        <v>390868</v>
      </c>
      <c r="W6">
        <v>6</v>
      </c>
      <c r="X6" t="s">
        <v>260</v>
      </c>
      <c r="Y6" t="s">
        <v>33</v>
      </c>
      <c r="Z6" t="s">
        <v>39</v>
      </c>
      <c r="AA6">
        <v>24</v>
      </c>
      <c r="AB6" s="6">
        <v>86795</v>
      </c>
      <c r="AC6">
        <v>9</v>
      </c>
      <c r="AD6" t="s">
        <v>282</v>
      </c>
      <c r="AE6" t="s">
        <v>28</v>
      </c>
      <c r="AF6" s="30" t="s">
        <v>40</v>
      </c>
      <c r="AG6" s="2" t="s">
        <v>41</v>
      </c>
      <c r="AH6" t="s">
        <v>18</v>
      </c>
      <c r="AI6">
        <v>15864</v>
      </c>
    </row>
    <row r="7" spans="1:35" x14ac:dyDescent="0.3">
      <c r="A7">
        <v>11</v>
      </c>
      <c r="B7" t="s">
        <v>32</v>
      </c>
      <c r="C7" t="s">
        <v>20</v>
      </c>
      <c r="D7" t="s">
        <v>14</v>
      </c>
      <c r="E7">
        <v>56</v>
      </c>
      <c r="F7" s="6">
        <v>81133</v>
      </c>
      <c r="G7">
        <v>3</v>
      </c>
      <c r="H7" t="s">
        <v>281</v>
      </c>
      <c r="I7" t="s">
        <v>34</v>
      </c>
      <c r="J7" s="30">
        <v>0</v>
      </c>
      <c r="K7" s="2" t="s">
        <v>54</v>
      </c>
      <c r="L7" t="s">
        <v>31</v>
      </c>
      <c r="M7">
        <v>110685</v>
      </c>
      <c r="W7">
        <v>7</v>
      </c>
      <c r="X7" t="s">
        <v>261</v>
      </c>
      <c r="Y7" t="s">
        <v>268</v>
      </c>
      <c r="Z7" t="s">
        <v>27</v>
      </c>
      <c r="AA7">
        <v>57</v>
      </c>
      <c r="AB7" s="6">
        <v>30041</v>
      </c>
      <c r="AC7">
        <v>2</v>
      </c>
      <c r="AD7" t="s">
        <v>281</v>
      </c>
      <c r="AE7" t="s">
        <v>22</v>
      </c>
      <c r="AF7" s="30" t="s">
        <v>111</v>
      </c>
      <c r="AG7" s="2" t="s">
        <v>112</v>
      </c>
      <c r="AH7" t="s">
        <v>18</v>
      </c>
      <c r="AI7">
        <v>0</v>
      </c>
    </row>
    <row r="8" spans="1:35" x14ac:dyDescent="0.3">
      <c r="A8">
        <v>12</v>
      </c>
      <c r="B8" t="s">
        <v>59</v>
      </c>
      <c r="C8" t="s">
        <v>33</v>
      </c>
      <c r="D8" t="s">
        <v>21</v>
      </c>
      <c r="E8">
        <v>0</v>
      </c>
      <c r="F8" s="6">
        <v>53884</v>
      </c>
      <c r="G8">
        <v>6</v>
      </c>
      <c r="H8" t="s">
        <v>283</v>
      </c>
      <c r="I8" t="s">
        <v>60</v>
      </c>
      <c r="J8" s="30" t="s">
        <v>61</v>
      </c>
      <c r="K8" s="2" t="s">
        <v>62</v>
      </c>
      <c r="L8" t="s">
        <v>31</v>
      </c>
      <c r="M8">
        <v>367078</v>
      </c>
      <c r="W8">
        <v>10</v>
      </c>
      <c r="X8" t="s">
        <v>50</v>
      </c>
      <c r="Y8" t="s">
        <v>33</v>
      </c>
      <c r="Z8" t="s">
        <v>14</v>
      </c>
      <c r="AA8">
        <v>34</v>
      </c>
      <c r="AB8" s="6">
        <v>0</v>
      </c>
      <c r="AC8">
        <v>10</v>
      </c>
      <c r="AD8" t="s">
        <v>282</v>
      </c>
      <c r="AE8" t="s">
        <v>51</v>
      </c>
      <c r="AF8" s="30" t="s">
        <v>52</v>
      </c>
      <c r="AG8" s="2" t="s">
        <v>53</v>
      </c>
      <c r="AH8" t="s">
        <v>18</v>
      </c>
      <c r="AI8">
        <v>88985</v>
      </c>
    </row>
    <row r="9" spans="1:35" x14ac:dyDescent="0.3">
      <c r="A9">
        <v>16</v>
      </c>
      <c r="B9" t="s">
        <v>262</v>
      </c>
      <c r="C9" t="s">
        <v>20</v>
      </c>
      <c r="D9" t="s">
        <v>39</v>
      </c>
      <c r="E9">
        <v>40</v>
      </c>
      <c r="F9" s="6">
        <v>24760</v>
      </c>
      <c r="G9">
        <v>15</v>
      </c>
      <c r="H9" t="s">
        <v>282</v>
      </c>
      <c r="I9" t="s">
        <v>56</v>
      </c>
      <c r="J9" s="30" t="s">
        <v>57</v>
      </c>
      <c r="K9" s="2" t="s">
        <v>58</v>
      </c>
      <c r="L9" t="s">
        <v>31</v>
      </c>
      <c r="M9">
        <v>0</v>
      </c>
      <c r="W9">
        <v>13</v>
      </c>
      <c r="X9" t="s">
        <v>268</v>
      </c>
      <c r="Y9" t="s">
        <v>26</v>
      </c>
      <c r="Z9" t="s">
        <v>82</v>
      </c>
      <c r="AA9">
        <v>31</v>
      </c>
      <c r="AB9" s="6">
        <v>97923</v>
      </c>
      <c r="AC9">
        <v>13</v>
      </c>
      <c r="AD9" t="s">
        <v>282</v>
      </c>
      <c r="AE9" t="s">
        <v>34</v>
      </c>
      <c r="AF9" s="30" t="s">
        <v>63</v>
      </c>
      <c r="AG9" s="2" t="s">
        <v>64</v>
      </c>
      <c r="AH9" t="s">
        <v>18</v>
      </c>
      <c r="AI9">
        <v>149044</v>
      </c>
    </row>
    <row r="10" spans="1:35" x14ac:dyDescent="0.3">
      <c r="A10">
        <v>17</v>
      </c>
      <c r="B10" t="s">
        <v>19</v>
      </c>
      <c r="C10" t="s">
        <v>33</v>
      </c>
      <c r="D10" t="s">
        <v>27</v>
      </c>
      <c r="E10">
        <v>46</v>
      </c>
      <c r="F10" s="6">
        <v>58765</v>
      </c>
      <c r="G10">
        <v>15</v>
      </c>
      <c r="H10" t="s">
        <v>282</v>
      </c>
      <c r="I10" t="s">
        <v>22</v>
      </c>
      <c r="J10" s="30" t="s">
        <v>68</v>
      </c>
      <c r="K10" s="2" t="s">
        <v>69</v>
      </c>
      <c r="L10" t="s">
        <v>31</v>
      </c>
      <c r="M10">
        <v>449600</v>
      </c>
      <c r="W10">
        <v>14</v>
      </c>
      <c r="X10" t="s">
        <v>59</v>
      </c>
      <c r="Y10" t="s">
        <v>13</v>
      </c>
      <c r="Z10" t="s">
        <v>21</v>
      </c>
      <c r="AA10">
        <v>34</v>
      </c>
      <c r="AB10" s="6">
        <v>73351</v>
      </c>
      <c r="AC10">
        <v>12</v>
      </c>
      <c r="AD10" t="s">
        <v>282</v>
      </c>
      <c r="AE10" t="s">
        <v>60</v>
      </c>
      <c r="AF10" s="30" t="s">
        <v>65</v>
      </c>
      <c r="AG10" s="2" t="s">
        <v>66</v>
      </c>
      <c r="AH10" t="s">
        <v>18</v>
      </c>
      <c r="AI10">
        <v>495134</v>
      </c>
    </row>
    <row r="11" spans="1:35" x14ac:dyDescent="0.3">
      <c r="A11">
        <v>18</v>
      </c>
      <c r="B11" t="s">
        <v>263</v>
      </c>
      <c r="C11" t="s">
        <v>92</v>
      </c>
      <c r="D11" t="s">
        <v>39</v>
      </c>
      <c r="E11">
        <v>22</v>
      </c>
      <c r="F11" s="6">
        <v>0</v>
      </c>
      <c r="G11">
        <v>13</v>
      </c>
      <c r="H11" t="s">
        <v>282</v>
      </c>
      <c r="I11" t="s">
        <v>51</v>
      </c>
      <c r="J11" s="30" t="s">
        <v>133</v>
      </c>
      <c r="K11" s="2" t="s">
        <v>134</v>
      </c>
      <c r="L11" t="s">
        <v>31</v>
      </c>
      <c r="M11">
        <v>0</v>
      </c>
      <c r="W11">
        <v>15</v>
      </c>
      <c r="X11" t="s">
        <v>260</v>
      </c>
      <c r="Y11" t="s">
        <v>26</v>
      </c>
      <c r="Z11" t="s">
        <v>82</v>
      </c>
      <c r="AA11">
        <v>48</v>
      </c>
      <c r="AB11" s="6">
        <v>69125</v>
      </c>
      <c r="AC11">
        <v>11</v>
      </c>
      <c r="AD11" t="s">
        <v>282</v>
      </c>
      <c r="AE11" t="s">
        <v>28</v>
      </c>
      <c r="AF11" s="30" t="s">
        <v>83</v>
      </c>
      <c r="AG11" s="2" t="s">
        <v>84</v>
      </c>
      <c r="AH11" t="s">
        <v>18</v>
      </c>
      <c r="AI11">
        <v>0</v>
      </c>
    </row>
    <row r="12" spans="1:35" x14ac:dyDescent="0.3">
      <c r="A12">
        <v>20</v>
      </c>
      <c r="B12" t="s">
        <v>260</v>
      </c>
      <c r="C12" t="s">
        <v>268</v>
      </c>
      <c r="D12" t="s">
        <v>27</v>
      </c>
      <c r="E12">
        <v>51</v>
      </c>
      <c r="F12" s="6">
        <v>87271</v>
      </c>
      <c r="G12">
        <v>1</v>
      </c>
      <c r="H12" t="s">
        <v>281</v>
      </c>
      <c r="I12" t="s">
        <v>28</v>
      </c>
      <c r="J12" s="30" t="s">
        <v>70</v>
      </c>
      <c r="K12" s="2" t="s">
        <v>71</v>
      </c>
      <c r="L12" t="s">
        <v>31</v>
      </c>
      <c r="M12">
        <v>496804</v>
      </c>
      <c r="W12">
        <v>19</v>
      </c>
      <c r="X12" t="s">
        <v>262</v>
      </c>
      <c r="Y12" t="s">
        <v>92</v>
      </c>
      <c r="Z12" t="s">
        <v>39</v>
      </c>
      <c r="AA12">
        <v>28</v>
      </c>
      <c r="AB12" s="6">
        <v>56991</v>
      </c>
      <c r="AC12">
        <v>8</v>
      </c>
      <c r="AD12" t="s">
        <v>283</v>
      </c>
      <c r="AE12" s="12" t="s">
        <v>56</v>
      </c>
      <c r="AF12" s="30" t="s">
        <v>249</v>
      </c>
      <c r="AG12" s="2" t="s">
        <v>250</v>
      </c>
      <c r="AH12" t="s">
        <v>18</v>
      </c>
      <c r="AI12">
        <v>0</v>
      </c>
    </row>
    <row r="13" spans="1:35" x14ac:dyDescent="0.3">
      <c r="A13">
        <v>21</v>
      </c>
      <c r="B13" t="s">
        <v>19</v>
      </c>
      <c r="C13" t="s">
        <v>20</v>
      </c>
      <c r="D13" t="s">
        <v>14</v>
      </c>
      <c r="E13">
        <v>50</v>
      </c>
      <c r="F13" s="6">
        <v>0</v>
      </c>
      <c r="G13">
        <v>6</v>
      </c>
      <c r="H13" t="s">
        <v>283</v>
      </c>
      <c r="I13" t="s">
        <v>22</v>
      </c>
      <c r="J13" s="30" t="s">
        <v>72</v>
      </c>
      <c r="K13" s="2" t="s">
        <v>73</v>
      </c>
      <c r="L13" t="s">
        <v>31</v>
      </c>
      <c r="M13">
        <v>426614</v>
      </c>
      <c r="W13">
        <v>22</v>
      </c>
      <c r="X13" t="s">
        <v>263</v>
      </c>
      <c r="Y13" t="s">
        <v>20</v>
      </c>
      <c r="Z13" t="s">
        <v>21</v>
      </c>
      <c r="AA13">
        <v>51</v>
      </c>
      <c r="AB13" s="6">
        <v>72895</v>
      </c>
      <c r="AC13">
        <v>8</v>
      </c>
      <c r="AD13" t="s">
        <v>283</v>
      </c>
      <c r="AE13" t="s">
        <v>51</v>
      </c>
      <c r="AF13" s="30" t="s">
        <v>193</v>
      </c>
      <c r="AG13" s="2" t="s">
        <v>194</v>
      </c>
      <c r="AH13" t="s">
        <v>18</v>
      </c>
      <c r="AI13">
        <v>0</v>
      </c>
    </row>
    <row r="14" spans="1:35" x14ac:dyDescent="0.3">
      <c r="A14">
        <v>24</v>
      </c>
      <c r="B14" t="s">
        <v>261</v>
      </c>
      <c r="C14" t="s">
        <v>13</v>
      </c>
      <c r="D14" t="s">
        <v>14</v>
      </c>
      <c r="E14">
        <v>57</v>
      </c>
      <c r="F14" s="6">
        <v>66972</v>
      </c>
      <c r="G14">
        <v>12</v>
      </c>
      <c r="H14" t="s">
        <v>282</v>
      </c>
      <c r="I14" t="s">
        <v>22</v>
      </c>
      <c r="J14" s="30" t="s">
        <v>153</v>
      </c>
      <c r="K14" s="2" t="s">
        <v>154</v>
      </c>
      <c r="L14" t="s">
        <v>31</v>
      </c>
      <c r="M14">
        <v>0</v>
      </c>
      <c r="W14">
        <v>23</v>
      </c>
      <c r="X14" t="s">
        <v>75</v>
      </c>
      <c r="Y14" t="s">
        <v>33</v>
      </c>
      <c r="Z14" t="s">
        <v>14</v>
      </c>
      <c r="AA14">
        <v>35</v>
      </c>
      <c r="AB14" s="6">
        <v>89544</v>
      </c>
      <c r="AC14">
        <v>2</v>
      </c>
      <c r="AD14" t="s">
        <v>281</v>
      </c>
      <c r="AE14" t="s">
        <v>56</v>
      </c>
      <c r="AF14" s="30" t="s">
        <v>76</v>
      </c>
      <c r="AG14" s="2" t="s">
        <v>77</v>
      </c>
      <c r="AH14" t="s">
        <v>18</v>
      </c>
      <c r="AI14">
        <v>474917</v>
      </c>
    </row>
    <row r="15" spans="1:35" x14ac:dyDescent="0.3">
      <c r="A15">
        <v>26</v>
      </c>
      <c r="B15" t="s">
        <v>75</v>
      </c>
      <c r="C15" t="s">
        <v>20</v>
      </c>
      <c r="D15" t="s">
        <v>39</v>
      </c>
      <c r="E15">
        <v>39</v>
      </c>
      <c r="F15" s="6">
        <v>55709</v>
      </c>
      <c r="G15">
        <v>2</v>
      </c>
      <c r="H15" t="s">
        <v>281</v>
      </c>
      <c r="I15" t="s">
        <v>56</v>
      </c>
      <c r="J15" s="30" t="s">
        <v>212</v>
      </c>
      <c r="K15" s="2" t="s">
        <v>81</v>
      </c>
      <c r="L15" t="s">
        <v>31</v>
      </c>
      <c r="M15">
        <v>51315</v>
      </c>
      <c r="W15">
        <v>25</v>
      </c>
      <c r="X15" t="s">
        <v>12</v>
      </c>
      <c r="Y15" t="s">
        <v>13</v>
      </c>
      <c r="Z15" t="s">
        <v>14</v>
      </c>
      <c r="AA15">
        <v>48</v>
      </c>
      <c r="AB15" s="6">
        <v>88337</v>
      </c>
      <c r="AC15">
        <v>11</v>
      </c>
      <c r="AD15" t="s">
        <v>282</v>
      </c>
      <c r="AE15" t="s">
        <v>15</v>
      </c>
      <c r="AF15" s="30" t="s">
        <v>80</v>
      </c>
      <c r="AG15" s="2" t="s">
        <v>79</v>
      </c>
      <c r="AH15" t="s">
        <v>18</v>
      </c>
      <c r="AI15">
        <v>484342</v>
      </c>
    </row>
    <row r="16" spans="1:35" x14ac:dyDescent="0.3">
      <c r="A16">
        <v>27</v>
      </c>
      <c r="B16" t="s">
        <v>262</v>
      </c>
      <c r="C16" t="s">
        <v>268</v>
      </c>
      <c r="D16" t="s">
        <v>82</v>
      </c>
      <c r="E16">
        <v>40</v>
      </c>
      <c r="F16" s="6">
        <v>83340</v>
      </c>
      <c r="G16">
        <v>8</v>
      </c>
      <c r="H16" t="s">
        <v>283</v>
      </c>
      <c r="I16" t="s">
        <v>56</v>
      </c>
      <c r="J16" s="30" t="s">
        <v>86</v>
      </c>
      <c r="K16" s="2" t="s">
        <v>231</v>
      </c>
      <c r="L16" t="s">
        <v>31</v>
      </c>
      <c r="M16">
        <v>0</v>
      </c>
      <c r="W16">
        <v>28</v>
      </c>
      <c r="X16" t="s">
        <v>261</v>
      </c>
      <c r="Y16" t="s">
        <v>20</v>
      </c>
      <c r="Z16" t="s">
        <v>82</v>
      </c>
      <c r="AA16">
        <v>47</v>
      </c>
      <c r="AB16" s="6">
        <v>0</v>
      </c>
      <c r="AC16">
        <v>6</v>
      </c>
      <c r="AD16" t="s">
        <v>283</v>
      </c>
      <c r="AE16" t="s">
        <v>22</v>
      </c>
      <c r="AF16" s="30" t="s">
        <v>88</v>
      </c>
      <c r="AG16" s="2" t="s">
        <v>213</v>
      </c>
      <c r="AH16" t="s">
        <v>18</v>
      </c>
      <c r="AI16">
        <v>0</v>
      </c>
    </row>
    <row r="17" spans="1:35" x14ac:dyDescent="0.3">
      <c r="A17">
        <v>31</v>
      </c>
      <c r="B17" t="s">
        <v>25</v>
      </c>
      <c r="C17" t="s">
        <v>13</v>
      </c>
      <c r="D17" t="s">
        <v>14</v>
      </c>
      <c r="E17">
        <v>59</v>
      </c>
      <c r="F17" s="6">
        <v>28803</v>
      </c>
      <c r="G17">
        <v>9</v>
      </c>
      <c r="H17" t="s">
        <v>282</v>
      </c>
      <c r="I17" t="s">
        <v>28</v>
      </c>
      <c r="J17" s="30" t="s">
        <v>98</v>
      </c>
      <c r="K17" s="2" t="s">
        <v>91</v>
      </c>
      <c r="L17" t="s">
        <v>31</v>
      </c>
      <c r="M17">
        <v>376847</v>
      </c>
      <c r="W17">
        <v>29</v>
      </c>
      <c r="X17" t="s">
        <v>32</v>
      </c>
      <c r="Y17" t="s">
        <v>26</v>
      </c>
      <c r="Z17" t="s">
        <v>21</v>
      </c>
      <c r="AA17">
        <v>29</v>
      </c>
      <c r="AB17" s="6">
        <v>79594</v>
      </c>
      <c r="AC17">
        <v>0</v>
      </c>
      <c r="AD17" t="s">
        <v>281</v>
      </c>
      <c r="AE17" t="s">
        <v>34</v>
      </c>
      <c r="AF17" s="30" t="s">
        <v>90</v>
      </c>
      <c r="AG17" s="2" t="s">
        <v>87</v>
      </c>
      <c r="AH17" t="s">
        <v>18</v>
      </c>
      <c r="AI17">
        <v>212327</v>
      </c>
    </row>
    <row r="18" spans="1:35" x14ac:dyDescent="0.3">
      <c r="A18">
        <v>33</v>
      </c>
      <c r="B18" t="s">
        <v>264</v>
      </c>
      <c r="C18" t="s">
        <v>13</v>
      </c>
      <c r="D18" t="s">
        <v>39</v>
      </c>
      <c r="E18">
        <v>38</v>
      </c>
      <c r="F18" s="6">
        <v>75773</v>
      </c>
      <c r="G18">
        <v>10</v>
      </c>
      <c r="H18" t="s">
        <v>282</v>
      </c>
      <c r="I18" t="s">
        <v>97</v>
      </c>
      <c r="J18" s="30" t="s">
        <v>105</v>
      </c>
      <c r="K18" s="2" t="s">
        <v>99</v>
      </c>
      <c r="L18" t="s">
        <v>31</v>
      </c>
      <c r="M18">
        <v>342488</v>
      </c>
      <c r="W18">
        <v>30</v>
      </c>
      <c r="X18" t="s">
        <v>59</v>
      </c>
      <c r="Y18" t="s">
        <v>26</v>
      </c>
      <c r="Z18" t="s">
        <v>82</v>
      </c>
      <c r="AA18">
        <v>0</v>
      </c>
      <c r="AB18" s="6">
        <v>79891</v>
      </c>
      <c r="AC18">
        <v>8</v>
      </c>
      <c r="AD18" t="s">
        <v>283</v>
      </c>
      <c r="AE18" t="s">
        <v>60</v>
      </c>
      <c r="AF18" s="30" t="s">
        <v>94</v>
      </c>
      <c r="AG18" s="2" t="s">
        <v>89</v>
      </c>
      <c r="AH18" t="s">
        <v>18</v>
      </c>
      <c r="AI18">
        <v>338934</v>
      </c>
    </row>
    <row r="19" spans="1:35" x14ac:dyDescent="0.3">
      <c r="A19">
        <v>34</v>
      </c>
      <c r="B19" t="s">
        <v>50</v>
      </c>
      <c r="C19" t="s">
        <v>20</v>
      </c>
      <c r="D19" t="s">
        <v>39</v>
      </c>
      <c r="E19">
        <v>27</v>
      </c>
      <c r="F19" s="6">
        <v>46399</v>
      </c>
      <c r="G19">
        <v>10</v>
      </c>
      <c r="H19" t="s">
        <v>282</v>
      </c>
      <c r="I19" t="s">
        <v>51</v>
      </c>
      <c r="J19" s="30" t="s">
        <v>107</v>
      </c>
      <c r="K19" s="2" t="s">
        <v>101</v>
      </c>
      <c r="L19" t="s">
        <v>31</v>
      </c>
      <c r="M19">
        <v>258748</v>
      </c>
      <c r="W19">
        <v>32</v>
      </c>
      <c r="X19" t="s">
        <v>268</v>
      </c>
      <c r="Y19" t="s">
        <v>92</v>
      </c>
      <c r="Z19" t="s">
        <v>14</v>
      </c>
      <c r="AA19">
        <v>30</v>
      </c>
      <c r="AB19" s="6">
        <v>0</v>
      </c>
      <c r="AC19">
        <v>9</v>
      </c>
      <c r="AD19" t="s">
        <v>282</v>
      </c>
      <c r="AE19" t="s">
        <v>93</v>
      </c>
      <c r="AF19" s="30" t="s">
        <v>100</v>
      </c>
      <c r="AG19" s="2" t="s">
        <v>95</v>
      </c>
      <c r="AH19" t="s">
        <v>18</v>
      </c>
      <c r="AI19">
        <v>327214</v>
      </c>
    </row>
    <row r="20" spans="1:35" x14ac:dyDescent="0.3">
      <c r="A20">
        <v>51</v>
      </c>
      <c r="B20" t="s">
        <v>260</v>
      </c>
      <c r="C20" t="s">
        <v>268</v>
      </c>
      <c r="D20" t="s">
        <v>21</v>
      </c>
      <c r="E20">
        <v>27</v>
      </c>
      <c r="F20" s="6">
        <v>95185</v>
      </c>
      <c r="G20">
        <v>14</v>
      </c>
      <c r="H20" t="s">
        <v>282</v>
      </c>
      <c r="I20" t="s">
        <v>28</v>
      </c>
      <c r="J20" s="30" t="s">
        <v>155</v>
      </c>
      <c r="K20" s="2" t="s">
        <v>143</v>
      </c>
      <c r="L20" t="s">
        <v>31</v>
      </c>
      <c r="M20">
        <v>32182</v>
      </c>
      <c r="W20">
        <v>35</v>
      </c>
      <c r="X20" t="s">
        <v>102</v>
      </c>
      <c r="Y20" t="s">
        <v>92</v>
      </c>
      <c r="Z20" t="s">
        <v>21</v>
      </c>
      <c r="AA20">
        <v>38</v>
      </c>
      <c r="AB20" s="6">
        <v>99758</v>
      </c>
      <c r="AC20">
        <v>13</v>
      </c>
      <c r="AD20" t="s">
        <v>282</v>
      </c>
      <c r="AE20" t="s">
        <v>93</v>
      </c>
      <c r="AF20" s="30" t="s">
        <v>113</v>
      </c>
      <c r="AG20" s="2" t="s">
        <v>103</v>
      </c>
      <c r="AH20" t="s">
        <v>18</v>
      </c>
      <c r="AI20">
        <v>246798</v>
      </c>
    </row>
    <row r="21" spans="1:35" x14ac:dyDescent="0.3">
      <c r="A21">
        <v>53</v>
      </c>
      <c r="B21" t="s">
        <v>59</v>
      </c>
      <c r="C21" t="s">
        <v>13</v>
      </c>
      <c r="D21" t="s">
        <v>21</v>
      </c>
      <c r="E21">
        <v>47</v>
      </c>
      <c r="F21" s="6">
        <v>69301</v>
      </c>
      <c r="G21">
        <v>4</v>
      </c>
      <c r="H21" t="s">
        <v>281</v>
      </c>
      <c r="I21" t="s">
        <v>60</v>
      </c>
      <c r="J21" s="30" t="s">
        <v>159</v>
      </c>
      <c r="K21" s="2" t="s">
        <v>147</v>
      </c>
      <c r="L21" t="s">
        <v>31</v>
      </c>
      <c r="M21">
        <v>355525</v>
      </c>
      <c r="N21" s="50"/>
      <c r="W21">
        <v>41</v>
      </c>
      <c r="X21" t="s">
        <v>119</v>
      </c>
      <c r="Y21" t="s">
        <v>13</v>
      </c>
      <c r="Z21" t="s">
        <v>27</v>
      </c>
      <c r="AA21">
        <v>46</v>
      </c>
      <c r="AB21" s="6">
        <v>50000</v>
      </c>
      <c r="AC21">
        <v>0</v>
      </c>
      <c r="AD21" t="s">
        <v>281</v>
      </c>
      <c r="AE21" t="s">
        <v>97</v>
      </c>
      <c r="AF21" s="30" t="s">
        <v>128</v>
      </c>
      <c r="AG21" s="2" t="s">
        <v>121</v>
      </c>
      <c r="AH21" t="s">
        <v>18</v>
      </c>
      <c r="AI21">
        <v>393525</v>
      </c>
    </row>
    <row r="22" spans="1:35" x14ac:dyDescent="0.3">
      <c r="A22">
        <v>61</v>
      </c>
      <c r="B22" t="s">
        <v>12</v>
      </c>
      <c r="C22" t="s">
        <v>92</v>
      </c>
      <c r="D22" t="s">
        <v>39</v>
      </c>
      <c r="E22">
        <v>49</v>
      </c>
      <c r="F22" s="6">
        <v>0</v>
      </c>
      <c r="G22">
        <v>5</v>
      </c>
      <c r="H22" t="s">
        <v>283</v>
      </c>
      <c r="I22" t="s">
        <v>15</v>
      </c>
      <c r="J22" s="30" t="s">
        <v>181</v>
      </c>
      <c r="K22" s="2" t="s">
        <v>167</v>
      </c>
      <c r="L22" t="s">
        <v>31</v>
      </c>
      <c r="M22">
        <v>495327</v>
      </c>
      <c r="W22">
        <v>54</v>
      </c>
      <c r="X22" t="s">
        <v>268</v>
      </c>
      <c r="Y22" t="s">
        <v>92</v>
      </c>
      <c r="Z22" t="s">
        <v>39</v>
      </c>
      <c r="AA22">
        <v>23</v>
      </c>
      <c r="AB22" s="6">
        <v>0</v>
      </c>
      <c r="AC22">
        <v>2</v>
      </c>
      <c r="AD22" t="s">
        <v>281</v>
      </c>
      <c r="AE22" t="s">
        <v>51</v>
      </c>
      <c r="AF22" s="30" t="s">
        <v>164</v>
      </c>
      <c r="AG22" s="2" t="s">
        <v>150</v>
      </c>
      <c r="AH22" t="s">
        <v>18</v>
      </c>
      <c r="AI22">
        <v>19735</v>
      </c>
    </row>
    <row r="23" spans="1:35" x14ac:dyDescent="0.3">
      <c r="A23">
        <v>69</v>
      </c>
      <c r="B23" t="s">
        <v>261</v>
      </c>
      <c r="C23" t="s">
        <v>92</v>
      </c>
      <c r="D23" t="s">
        <v>82</v>
      </c>
      <c r="E23">
        <v>22</v>
      </c>
      <c r="F23" s="6">
        <v>26614</v>
      </c>
      <c r="G23">
        <v>0</v>
      </c>
      <c r="H23" t="s">
        <v>281</v>
      </c>
      <c r="I23" t="s">
        <v>22</v>
      </c>
      <c r="J23" s="30" t="s">
        <v>200</v>
      </c>
      <c r="K23" s="2" t="s">
        <v>184</v>
      </c>
      <c r="L23" t="s">
        <v>31</v>
      </c>
      <c r="M23">
        <v>143780</v>
      </c>
      <c r="W23">
        <v>68</v>
      </c>
      <c r="X23" t="s">
        <v>75</v>
      </c>
      <c r="Y23" t="s">
        <v>92</v>
      </c>
      <c r="Z23" t="s">
        <v>39</v>
      </c>
      <c r="AA23">
        <v>41</v>
      </c>
      <c r="AB23" s="6">
        <v>0</v>
      </c>
      <c r="AC23">
        <v>4</v>
      </c>
      <c r="AD23" t="s">
        <v>281</v>
      </c>
      <c r="AE23" t="s">
        <v>56</v>
      </c>
      <c r="AF23" s="30" t="s">
        <v>198</v>
      </c>
      <c r="AG23" s="2" t="s">
        <v>182</v>
      </c>
      <c r="AH23" t="s">
        <v>18</v>
      </c>
      <c r="AI23">
        <v>87557</v>
      </c>
    </row>
    <row r="24" spans="1:35" x14ac:dyDescent="0.3">
      <c r="A24">
        <v>75</v>
      </c>
      <c r="B24" t="s">
        <v>268</v>
      </c>
      <c r="C24" t="s">
        <v>13</v>
      </c>
      <c r="D24" t="s">
        <v>82</v>
      </c>
      <c r="E24">
        <v>46</v>
      </c>
      <c r="F24" s="6">
        <v>0</v>
      </c>
      <c r="G24">
        <v>5</v>
      </c>
      <c r="H24" t="s">
        <v>283</v>
      </c>
      <c r="I24" t="s">
        <v>34</v>
      </c>
      <c r="J24" s="30" t="s">
        <v>215</v>
      </c>
      <c r="K24" s="2" t="s">
        <v>197</v>
      </c>
      <c r="L24" t="s">
        <v>31</v>
      </c>
      <c r="M24">
        <v>407043</v>
      </c>
      <c r="W24">
        <v>73</v>
      </c>
      <c r="X24" t="s">
        <v>50</v>
      </c>
      <c r="Y24" t="s">
        <v>33</v>
      </c>
      <c r="Z24" t="s">
        <v>27</v>
      </c>
      <c r="AA24">
        <v>51</v>
      </c>
      <c r="AB24" s="6">
        <v>84210</v>
      </c>
      <c r="AC24">
        <v>4</v>
      </c>
      <c r="AD24" t="s">
        <v>281</v>
      </c>
      <c r="AE24" t="s">
        <v>51</v>
      </c>
      <c r="AF24" s="30" t="s">
        <v>208</v>
      </c>
      <c r="AG24" s="2" t="s">
        <v>192</v>
      </c>
      <c r="AH24" t="s">
        <v>18</v>
      </c>
      <c r="AI24">
        <v>154126</v>
      </c>
    </row>
    <row r="25" spans="1:35" ht="15.6" x14ac:dyDescent="0.3">
      <c r="A25">
        <v>89</v>
      </c>
      <c r="B25" t="s">
        <v>45</v>
      </c>
      <c r="C25" t="s">
        <v>26</v>
      </c>
      <c r="D25" t="s">
        <v>39</v>
      </c>
      <c r="E25" s="17">
        <v>55</v>
      </c>
      <c r="F25" s="6">
        <v>43827</v>
      </c>
      <c r="G25">
        <v>12</v>
      </c>
      <c r="H25" t="s">
        <v>282</v>
      </c>
      <c r="I25" t="s">
        <v>47</v>
      </c>
      <c r="J25" s="30" t="s">
        <v>244</v>
      </c>
      <c r="K25" s="2" t="s">
        <v>226</v>
      </c>
      <c r="L25" t="s">
        <v>31</v>
      </c>
      <c r="M25">
        <v>176572</v>
      </c>
      <c r="W25">
        <v>81</v>
      </c>
      <c r="X25" t="s">
        <v>19</v>
      </c>
      <c r="Y25" t="s">
        <v>92</v>
      </c>
      <c r="Z25" t="s">
        <v>82</v>
      </c>
      <c r="AA25">
        <v>24</v>
      </c>
      <c r="AB25" s="6">
        <v>66339</v>
      </c>
      <c r="AC25">
        <v>13</v>
      </c>
      <c r="AD25" t="s">
        <v>282</v>
      </c>
      <c r="AE25" t="s">
        <v>22</v>
      </c>
      <c r="AF25" s="30" t="s">
        <v>227</v>
      </c>
      <c r="AG25" s="2" t="s">
        <v>209</v>
      </c>
      <c r="AH25" t="s">
        <v>18</v>
      </c>
      <c r="AI25">
        <v>102760</v>
      </c>
    </row>
    <row r="26" spans="1:35" x14ac:dyDescent="0.3">
      <c r="A26">
        <v>95</v>
      </c>
      <c r="B26" t="s">
        <v>19</v>
      </c>
      <c r="C26" t="s">
        <v>33</v>
      </c>
      <c r="D26" t="s">
        <v>82</v>
      </c>
      <c r="E26">
        <v>31</v>
      </c>
      <c r="F26" s="6">
        <v>27018</v>
      </c>
      <c r="G26">
        <v>7</v>
      </c>
      <c r="H26" t="s">
        <v>283</v>
      </c>
      <c r="I26" t="s">
        <v>22</v>
      </c>
      <c r="J26" s="30">
        <v>0</v>
      </c>
      <c r="K26" s="2" t="s">
        <v>239</v>
      </c>
      <c r="L26" t="s">
        <v>31</v>
      </c>
      <c r="M26">
        <v>154990</v>
      </c>
      <c r="W26">
        <v>82</v>
      </c>
      <c r="X26" t="s">
        <v>119</v>
      </c>
      <c r="Y26" t="s">
        <v>20</v>
      </c>
      <c r="Z26" t="s">
        <v>21</v>
      </c>
      <c r="AA26">
        <v>53</v>
      </c>
      <c r="AB26" s="6">
        <v>62338</v>
      </c>
      <c r="AC26">
        <v>5</v>
      </c>
      <c r="AD26" t="s">
        <v>283</v>
      </c>
      <c r="AE26" t="s">
        <v>97</v>
      </c>
      <c r="AF26" s="30" t="s">
        <v>229</v>
      </c>
      <c r="AG26" s="2" t="s">
        <v>211</v>
      </c>
      <c r="AH26" t="s">
        <v>18</v>
      </c>
      <c r="AI26">
        <v>435412</v>
      </c>
    </row>
    <row r="27" spans="1:35" x14ac:dyDescent="0.3">
      <c r="A27">
        <v>96</v>
      </c>
      <c r="B27" t="s">
        <v>261</v>
      </c>
      <c r="C27" t="s">
        <v>26</v>
      </c>
      <c r="D27" t="s">
        <v>39</v>
      </c>
      <c r="E27">
        <v>24</v>
      </c>
      <c r="F27" s="6">
        <v>65376</v>
      </c>
      <c r="G27">
        <v>5</v>
      </c>
      <c r="H27" t="s">
        <v>283</v>
      </c>
      <c r="I27" t="s">
        <v>22</v>
      </c>
      <c r="J27" s="30">
        <v>0</v>
      </c>
      <c r="K27" s="2" t="s">
        <v>241</v>
      </c>
      <c r="L27" t="s">
        <v>31</v>
      </c>
      <c r="M27">
        <v>403306</v>
      </c>
      <c r="W27">
        <v>84</v>
      </c>
      <c r="X27" t="s">
        <v>102</v>
      </c>
      <c r="Y27" t="s">
        <v>20</v>
      </c>
      <c r="Z27" t="s">
        <v>39</v>
      </c>
      <c r="AA27">
        <v>31</v>
      </c>
      <c r="AB27" s="6">
        <v>40006</v>
      </c>
      <c r="AC27">
        <v>7</v>
      </c>
      <c r="AD27" t="s">
        <v>283</v>
      </c>
      <c r="AE27" t="s">
        <v>93</v>
      </c>
      <c r="AF27" s="30" t="s">
        <v>234</v>
      </c>
      <c r="AG27" s="2" t="s">
        <v>216</v>
      </c>
      <c r="AH27" t="s">
        <v>18</v>
      </c>
      <c r="AI27">
        <v>136347</v>
      </c>
    </row>
    <row r="28" spans="1:35" x14ac:dyDescent="0.3">
      <c r="N28" s="50"/>
    </row>
    <row r="33" spans="7:15" ht="21" x14ac:dyDescent="0.4">
      <c r="G33" s="20"/>
      <c r="O33" s="51" t="s">
        <v>312</v>
      </c>
    </row>
    <row r="34" spans="7:15" ht="18" x14ac:dyDescent="0.3">
      <c r="N34" s="44" t="s">
        <v>310</v>
      </c>
      <c r="O34" s="2" t="s">
        <v>73</v>
      </c>
    </row>
    <row r="35" spans="7:15" ht="18" x14ac:dyDescent="0.3">
      <c r="N35" s="45" t="s">
        <v>259</v>
      </c>
      <c r="O35" s="46" t="str" cm="1">
        <f t="array" ref="O35">_xlfn.XLOOKUP($O$34,$K$2:$K$27,INDEX($A$2:$M$27,,MATCH(N35,$A$2:$M$2,0)),_xlfn.XLOOKUP($O$34,$AG$2:$AG$27,INDEX($W$2:$AI$27,,MATCH(N35,$W$2:$AI$2,0))))</f>
        <v>Rohit</v>
      </c>
    </row>
    <row r="36" spans="7:15" ht="18" x14ac:dyDescent="0.3">
      <c r="N36" s="45" t="s">
        <v>258</v>
      </c>
      <c r="O36" s="46" t="str" cm="1">
        <f t="array" ref="O36">_xlfn.XLOOKUP($O$34,$K$2:$K$27,INDEX($A$2:$M$27,,MATCH(N36,$A$2:$M$2,0)),_xlfn.XLOOKUP($O$34,$AG$2:$AG$27,INDEX($W$2:$AI$27,,MATCH(N36,$W$2:$AI$2,0))))</f>
        <v>Finance</v>
      </c>
    </row>
    <row r="37" spans="7:15" ht="18" x14ac:dyDescent="0.3">
      <c r="N37" s="45" t="s">
        <v>266</v>
      </c>
      <c r="O37" s="46" t="str" cm="1">
        <f t="array" ref="O37">_xlfn.XLOOKUP($O$34,$K$2:$K$27,INDEX($A$2:$M$27,,MATCH(N37,$A$2:$M$2,0)),_xlfn.XLOOKUP($O$34,$AG$2:$AG$27,INDEX($W$2:$AI$27,,MATCH(N37,$W$2:$AI$2,0))))</f>
        <v>Manager</v>
      </c>
    </row>
    <row r="38" spans="7:15" ht="18" x14ac:dyDescent="0.3">
      <c r="N38" s="45" t="s">
        <v>4</v>
      </c>
      <c r="O38" s="46" cm="1">
        <f t="array" ref="O38">_xlfn.XLOOKUP($O$34,$K$2:$K$27,INDEX($A$2:$M$27,,MATCH(N38,$A$2:$M$2,0)),_xlfn.XLOOKUP($O$34,$AG$2:$AG$27,INDEX($W$2:$AI$27,,MATCH(N38,$W$2:$AI$2,0))))</f>
        <v>50</v>
      </c>
    </row>
    <row r="39" spans="7:15" ht="18" x14ac:dyDescent="0.3">
      <c r="N39" s="47" t="s">
        <v>257</v>
      </c>
      <c r="O39" s="46" cm="1">
        <f t="array" ref="O39">_xlfn.XLOOKUP($O$34,$K$2:$K$27,INDEX($A$2:$M$27,,MATCH(N39,$A$2:$M$2,0)),_xlfn.XLOOKUP($O$34,$AG$2:$AG$27,INDEX($W$2:$AI$27,,MATCH(N39,$W$2:$AI$2,0))))</f>
        <v>0</v>
      </c>
    </row>
    <row r="40" spans="7:15" ht="18" x14ac:dyDescent="0.3">
      <c r="N40" s="45" t="s">
        <v>6</v>
      </c>
      <c r="O40" s="46" cm="1">
        <f t="array" ref="O40">_xlfn.XLOOKUP($O$34,$K$2:$K$27,INDEX($A$2:$M$27,,MATCH(N40,$A$2:$M$2,0)),_xlfn.XLOOKUP($O$34,$AG$2:$AG$27,INDEX($W$2:$AI$27,,MATCH(N40,$W$2:$AI$2,0))))</f>
        <v>6</v>
      </c>
    </row>
    <row r="41" spans="7:15" ht="18" x14ac:dyDescent="0.3">
      <c r="N41" s="45" t="s">
        <v>279</v>
      </c>
      <c r="O41" s="46" t="str" cm="1">
        <f t="array" ref="O41">_xlfn.XLOOKUP($O$34,$K$2:$K$27,INDEX($A$2:$M$27,,MATCH(N41,$A$2:$M$2,0)),_xlfn.XLOOKUP($O$34,$AG$2:$AG$27,INDEX($W$2:$AI$27,,MATCH(N41,$W$2:$AI$2,0))))</f>
        <v>Grade B</v>
      </c>
    </row>
    <row r="42" spans="7:15" ht="18" x14ac:dyDescent="0.3">
      <c r="N42" s="45" t="s">
        <v>7</v>
      </c>
      <c r="O42" s="46" t="str" cm="1">
        <f t="array" ref="O42">_xlfn.XLOOKUP($O$34,$K$2:$K$27,INDEX($A$2:$M$27,,MATCH(N42,$A$2:$M$2,0)),_xlfn.XLOOKUP($O$34,$AG$2:$AG$27,INDEX($W$2:$AI$27,,MATCH(N42,$W$2:$AI$2,0))))</f>
        <v>rohit@company.com</v>
      </c>
    </row>
    <row r="43" spans="7:15" ht="18" x14ac:dyDescent="0.3">
      <c r="N43" s="48" t="s">
        <v>8</v>
      </c>
      <c r="O43" s="46" t="str" cm="1">
        <f t="array" ref="O43">_xlfn.XLOOKUP($O$34,$K$2:$K$27,INDEX($A$2:$M$27,,MATCH(N43,$A$2:$M$2,0)),_xlfn.XLOOKUP($O$34,$AG$2:$AG$27,INDEX($W$2:$AI$27,,MATCH(N43,$W$2:$AI$2,0))))</f>
        <v>9802424208</v>
      </c>
    </row>
    <row r="44" spans="7:15" ht="18" x14ac:dyDescent="0.3">
      <c r="N44" s="49" t="s">
        <v>9</v>
      </c>
      <c r="O44" s="46" t="str" cm="1">
        <f t="array" ref="O44">_xlfn.XLOOKUP($O$34,$K$2:$K$27,INDEX($A$2:$M$27,,MATCH(N44,$A$2:$M$2,0)),_xlfn.XLOOKUP($O$34,$AG$2:$AG$27,INDEX($W$2:$AI$27,,MATCH(N44,$W$2:$AI$2,0))))</f>
        <v>9985277739</v>
      </c>
    </row>
    <row r="45" spans="7:15" ht="18" x14ac:dyDescent="0.3">
      <c r="N45" s="46" t="s">
        <v>305</v>
      </c>
      <c r="O45" s="46" t="str" cm="1">
        <f t="array" ref="O45">_xlfn.XLOOKUP($O$34,$K$2:$K$27,INDEX($A$2:$M$27,,MATCH(N45,$A$2:$M$2,0)),_xlfn.XLOOKUP($O$34,$AG$2:$AG$27,INDEX($W$2:$AI$27,,MATCH(N45,$W$2:$AI$2,0))))</f>
        <v>Current</v>
      </c>
    </row>
    <row r="46" spans="7:15" ht="18" x14ac:dyDescent="0.3">
      <c r="N46" s="45" t="s">
        <v>267</v>
      </c>
      <c r="O46" s="46" cm="1">
        <f t="array" ref="O46">_xlfn.XLOOKUP($O$34,$K$2:$K$27,INDEX($A$2:$M$27,,MATCH(N46,$A$2:$M$2,0)),_xlfn.XLOOKUP($O$34,$AG$2:$AG$27,INDEX($W$2:$AI$27,,MATCH(N46,$W$2:$AI$2,0))))</f>
        <v>426614</v>
      </c>
    </row>
  </sheetData>
  <phoneticPr fontId="3" type="noConversion"/>
  <conditionalFormatting sqref="C3:C27 Y3:Y27">
    <cfRule type="expression" dxfId="0" priority="1">
      <formula>$D3=$O$4</formula>
    </cfRule>
  </conditionalFormatting>
  <hyperlinks>
    <hyperlink ref="I3" r:id="rId1" xr:uid="{95816FEF-67AE-4A85-AA31-6185CD968F48}"/>
    <hyperlink ref="AE3" r:id="rId2" xr:uid="{5D45DC8C-2343-4849-AD49-7D9F2120364D}"/>
    <hyperlink ref="AE12" r:id="rId3" xr:uid="{7F1CCC7B-80F3-4432-9484-285EF2C896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INSTRUCTIONS</vt:lpstr>
      <vt:lpstr>DATA CLEANING</vt:lpstr>
      <vt:lpstr>MATCH() AND INDEX()</vt:lpstr>
      <vt:lpstr>VLOOKUP, XLOOKUP</vt:lpstr>
      <vt:lpstr>XLIOOKUP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Manjari Prasad</cp:lastModifiedBy>
  <dcterms:created xsi:type="dcterms:W3CDTF">2026-04-23T13:37:46Z</dcterms:created>
  <dcterms:modified xsi:type="dcterms:W3CDTF">2026-04-27T01:37:33Z</dcterms:modified>
</cp:coreProperties>
</file>